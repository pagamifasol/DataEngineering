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\\pe.local\shares\P074\RaceEngineering\_EVENTS\21T07 Le Castellet\"/>
    </mc:Choice>
  </mc:AlternateContent>
  <xr:revisionPtr revIDLastSave="0" documentId="13_ncr:1_{F1DCA65D-4D94-489D-852D-8C16A0BAAFCC}" xr6:coauthVersionLast="47" xr6:coauthVersionMax="47" xr10:uidLastSave="{00000000-0000-0000-0000-000000000000}"/>
  <bookViews>
    <workbookView xWindow="-120" yWindow="-120" windowWidth="38640" windowHeight="15840" xr2:uid="{9DAE565C-03B1-4891-9A65-09C4283246D7}"/>
  </bookViews>
  <sheets>
    <sheet name="Test Plan" sheetId="1" r:id="rId1"/>
  </sheets>
  <externalReferences>
    <externalReference r:id="rId2"/>
    <externalReference r:id="rId3"/>
  </externalReferences>
  <definedNames>
    <definedName name="Aktuell">2</definedName>
    <definedName name="Capacity" localSheetId="0">[1]Data!$B$11</definedName>
    <definedName name="Capacity">[2]Data!$B$11</definedName>
    <definedName name="CatDri1">[2]Resume!$R$3</definedName>
    <definedName name="CatDri2">[2]Resume!$R$4</definedName>
    <definedName name="CatDri3">[2]Resume!$R$5</definedName>
    <definedName name="CatDri4">[2]Resume!$R$6</definedName>
    <definedName name="Compound" localSheetId="0">[1]Data!$B$7:$M$7</definedName>
    <definedName name="Compound">[2]Data!$B$7:$N$7</definedName>
    <definedName name="ConsPil1" localSheetId="0">#REF!</definedName>
    <definedName name="ConsPil1">#REF!</definedName>
    <definedName name="ConsPil2" localSheetId="0">#REF!</definedName>
    <definedName name="ConsPil2">#REF!</definedName>
    <definedName name="ConsPil3" localSheetId="0">#REF!</definedName>
    <definedName name="ConsPil3">#REF!</definedName>
    <definedName name="ConsPil4" localSheetId="0">#REF!</definedName>
    <definedName name="ConsPil4">#REF!</definedName>
    <definedName name="ConsSC" localSheetId="0">#REF!</definedName>
    <definedName name="ConsSC">#REF!</definedName>
    <definedName name="Density" localSheetId="0">[1]Data!$B$23</definedName>
    <definedName name="Density">[2]Data!$B$23</definedName>
    <definedName name="DriTiTillClock">[2]Resume!$AS$7</definedName>
    <definedName name="EndRace" localSheetId="0">#REF!</definedName>
    <definedName name="EndRace">#REF!</definedName>
    <definedName name="Fuel_Lap_Alarm" localSheetId="0">[1]Data!$B$14</definedName>
    <definedName name="Fuel_Lap_Alarm">[2]Data!$B$14</definedName>
    <definedName name="InitDri1">[2]Resume!$O$3</definedName>
    <definedName name="InitDri2">[2]Resume!$O$4</definedName>
    <definedName name="InitDri3">[2]Resume!$O$5</definedName>
    <definedName name="InitDri4">[2]Resume!$O$6</definedName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  <definedName name="Max_Driv_Ti">[2]Data!$B$17</definedName>
    <definedName name="Max_Driv_Ti_ELMS_GP">[2]Data!$B$20</definedName>
    <definedName name="Max_Oil_Lev">[2]Data!$B$21</definedName>
    <definedName name="Min_Driv_Ti">[2]Data!$B$16</definedName>
    <definedName name="Min_Driv_Ti_ELMS_BS" localSheetId="0">[1]Data!$B$18</definedName>
    <definedName name="Min_Driv_Ti_ELMS_BS">[2]Data!$B$18</definedName>
    <definedName name="Min_Driv_Ti_ELMS_GP">[2]Data!$B$19</definedName>
    <definedName name="NomPil1" localSheetId="0">#REF!</definedName>
    <definedName name="NomPil1">#REF!</definedName>
    <definedName name="NomPil2" localSheetId="0">#REF!</definedName>
    <definedName name="NomPil2">#REF!</definedName>
    <definedName name="NomPil3" localSheetId="0">#REF!</definedName>
    <definedName name="NomPil3">#REF!</definedName>
    <definedName name="NomPil4" localSheetId="0">#REF!</definedName>
    <definedName name="NomPil4">#REF!</definedName>
    <definedName name="Opt_5">[2]Resume!$AS$8</definedName>
    <definedName name="Pilotes" localSheetId="0">[1]Resume!$O$3:$O$7</definedName>
    <definedName name="Pilotes">[2]Resume!$O$3:$O$7</definedName>
    <definedName name="PitTiIncDriOut">[2]Resume!$AS$4</definedName>
    <definedName name="_xlnm.Print_Area" localSheetId="0">'Test Plan'!$A$1:$AG$80</definedName>
    <definedName name="QEss" localSheetId="0">#REF!</definedName>
    <definedName name="QEss">#REF!</definedName>
    <definedName name="SeriennummerDSM">16</definedName>
    <definedName name="SeriennummerZOC1">0</definedName>
    <definedName name="SeriennummerZOC2">311</definedName>
    <definedName name="SeriennummerZOC3">0</definedName>
    <definedName name="SeriennummerZOC4">0</definedName>
    <definedName name="Sim_Choice" localSheetId="0">[1]Data!$B$15:$C$15</definedName>
    <definedName name="Sim_Choice">[2]Data!$B$15:$C$15</definedName>
    <definedName name="Tire_Chg">[2]Data!$B$13:$F$13</definedName>
    <definedName name="Tps2Pn" localSheetId="0">#REF!</definedName>
    <definedName name="Tps2Pn">#REF!</definedName>
    <definedName name="Tps4Pn" localSheetId="0">#REF!</definedName>
    <definedName name="Tps4Pn">#REF!</definedName>
    <definedName name="TpsAccoup" localSheetId="0">#REF!</definedName>
    <definedName name="TpsAccoup">#REF!</definedName>
    <definedName name="TpsPil1" localSheetId="0">#REF!</definedName>
    <definedName name="TpsPil1">#REF!</definedName>
    <definedName name="TpsPil2" localSheetId="0">#REF!</definedName>
    <definedName name="TpsPil2">#REF!</definedName>
    <definedName name="TpsPil3" localSheetId="0">#REF!</definedName>
    <definedName name="TpsPil3">#REF!</definedName>
    <definedName name="TpsPil4" localSheetId="0">#REF!</definedName>
    <definedName name="TpsPil4">#REF!</definedName>
    <definedName name="TpsPit" localSheetId="0">#REF!</definedName>
    <definedName name="TpsPit">#REF!</definedName>
    <definedName name="TpsSC" localSheetId="0">#REF!</definedName>
    <definedName name="TpsSC">#REF!</definedName>
    <definedName name="Track" localSheetId="0">[1]Data!$B$10:$D$10</definedName>
    <definedName name="Track">[2]Data!$B$10:$D$10</definedName>
    <definedName name="Trains" localSheetId="0">[1]Tires!$BL$6:$BL$17</definedName>
    <definedName name="Trains">[2]Tires!$BL$6:$BL$17</definedName>
    <definedName name="Venue" localSheetId="0">[1]Data!$B$4:$AU$4</definedName>
    <definedName name="Venue">[2]Data!$B$4:$AU$4</definedName>
    <definedName name="Weather" localSheetId="0">[1]Data!$B$9:$E$9</definedName>
    <definedName name="Weather">[2]Data!$B$9:$E$9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9" i="1" l="1"/>
  <c r="AD10" i="1" s="1"/>
  <c r="AD49" i="1"/>
  <c r="E44" i="1"/>
  <c r="B44" i="1"/>
  <c r="Q78" i="1"/>
  <c r="L78" i="1"/>
  <c r="K78" i="1"/>
  <c r="E78" i="1"/>
  <c r="B78" i="1"/>
  <c r="Q75" i="1"/>
  <c r="L75" i="1"/>
  <c r="K75" i="1"/>
  <c r="E75" i="1"/>
  <c r="B75" i="1"/>
  <c r="Q72" i="1"/>
  <c r="L72" i="1"/>
  <c r="K72" i="1"/>
  <c r="E72" i="1"/>
  <c r="B72" i="1"/>
  <c r="Q69" i="1"/>
  <c r="L69" i="1"/>
  <c r="K69" i="1"/>
  <c r="E69" i="1"/>
  <c r="B69" i="1"/>
  <c r="Q66" i="1"/>
  <c r="L66" i="1"/>
  <c r="K66" i="1"/>
  <c r="E66" i="1"/>
  <c r="B66" i="1"/>
  <c r="Z57" i="1"/>
  <c r="P51" i="1"/>
  <c r="O51" i="1"/>
  <c r="K51" i="1"/>
  <c r="K54" i="1" s="1"/>
  <c r="K57" i="1" s="1"/>
  <c r="K60" i="1" s="1"/>
  <c r="K63" i="1" s="1"/>
  <c r="B51" i="1"/>
  <c r="B54" i="1" s="1"/>
  <c r="B57" i="1" s="1"/>
  <c r="B60" i="1" s="1"/>
  <c r="B63" i="1" s="1"/>
  <c r="A49" i="1"/>
  <c r="Y48" i="1"/>
  <c r="X48" i="1"/>
  <c r="W48" i="1"/>
  <c r="V48" i="1"/>
  <c r="U48" i="1"/>
  <c r="Z17" i="1"/>
  <c r="P11" i="1"/>
  <c r="O11" i="1"/>
  <c r="L11" i="1"/>
  <c r="K11" i="1"/>
  <c r="K14" i="1" s="1"/>
  <c r="K17" i="1" s="1"/>
  <c r="K20" i="1" s="1"/>
  <c r="K23" i="1" s="1"/>
  <c r="K26" i="1" s="1"/>
  <c r="K29" i="1" s="1"/>
  <c r="K32" i="1" s="1"/>
  <c r="K35" i="1" s="1"/>
  <c r="K38" i="1" s="1"/>
  <c r="K41" i="1" s="1"/>
  <c r="K44" i="1" s="1"/>
  <c r="B11" i="1"/>
  <c r="B14" i="1" s="1"/>
  <c r="B17" i="1" s="1"/>
  <c r="B20" i="1" s="1"/>
  <c r="B23" i="1" s="1"/>
  <c r="B26" i="1" s="1"/>
  <c r="B29" i="1" s="1"/>
  <c r="B32" i="1" s="1"/>
  <c r="B35" i="1" s="1"/>
  <c r="B38" i="1" s="1"/>
  <c r="B41" i="1" s="1"/>
  <c r="A9" i="1"/>
  <c r="H7" i="1"/>
  <c r="E7" i="1"/>
  <c r="H6" i="1"/>
  <c r="E6" i="1"/>
  <c r="Z21" i="1" s="1"/>
  <c r="Z20" i="1"/>
  <c r="Z19" i="1"/>
  <c r="H3" i="1"/>
  <c r="Q44" i="1" s="1"/>
  <c r="E3" i="1"/>
  <c r="Z18" i="1" s="1"/>
  <c r="K4" i="1" l="1"/>
  <c r="L4" i="1" s="1"/>
  <c r="AD50" i="1"/>
  <c r="Q41" i="1"/>
  <c r="E41" i="1"/>
  <c r="E38" i="1"/>
  <c r="E23" i="1"/>
  <c r="E35" i="1"/>
  <c r="Q38" i="1"/>
  <c r="Q35" i="1"/>
  <c r="E17" i="1"/>
  <c r="E11" i="1"/>
  <c r="G11" i="1" s="1"/>
  <c r="M11" i="1" s="1"/>
  <c r="L14" i="1" s="1"/>
  <c r="Q14" i="1"/>
  <c r="AA20" i="1"/>
  <c r="AD20" i="1" s="1"/>
  <c r="W10" i="1"/>
  <c r="AA19" i="1"/>
  <c r="AD19" i="1" s="1"/>
  <c r="V10" i="1"/>
  <c r="X10" i="1"/>
  <c r="AA21" i="1"/>
  <c r="AD21" i="1" s="1"/>
  <c r="U10" i="1"/>
  <c r="Z62" i="1"/>
  <c r="Q26" i="1"/>
  <c r="Q11" i="1"/>
  <c r="R11" i="1" s="1"/>
  <c r="P14" i="1" s="1"/>
  <c r="R14" i="1" s="1"/>
  <c r="P17" i="1" s="1"/>
  <c r="E14" i="1"/>
  <c r="Q23" i="1"/>
  <c r="Z61" i="1"/>
  <c r="Z59" i="1"/>
  <c r="Z22" i="1"/>
  <c r="Q32" i="1"/>
  <c r="E20" i="1"/>
  <c r="E60" i="1"/>
  <c r="AD51" i="1"/>
  <c r="Q17" i="1"/>
  <c r="E63" i="1"/>
  <c r="Q51" i="1"/>
  <c r="R51" i="1" s="1"/>
  <c r="P54" i="1" s="1"/>
  <c r="Q60" i="1"/>
  <c r="Z58" i="1"/>
  <c r="Q57" i="1"/>
  <c r="E51" i="1"/>
  <c r="G51" i="1" s="1"/>
  <c r="E32" i="1"/>
  <c r="Q29" i="1"/>
  <c r="E57" i="1"/>
  <c r="Q54" i="1"/>
  <c r="Q63" i="1"/>
  <c r="E54" i="1"/>
  <c r="E26" i="1"/>
  <c r="Z60" i="1"/>
  <c r="Q20" i="1"/>
  <c r="E29" i="1"/>
  <c r="V41" i="1" l="1"/>
  <c r="V44" i="1"/>
  <c r="W41" i="1"/>
  <c r="W44" i="1"/>
  <c r="U41" i="1"/>
  <c r="U44" i="1"/>
  <c r="X41" i="1"/>
  <c r="X44" i="1"/>
  <c r="AD52" i="1"/>
  <c r="H11" i="1"/>
  <c r="O54" i="1"/>
  <c r="R54" i="1"/>
  <c r="P57" i="1" s="1"/>
  <c r="AD60" i="1"/>
  <c r="AA60" i="1"/>
  <c r="W50" i="1"/>
  <c r="H51" i="1"/>
  <c r="I51" i="1" s="1"/>
  <c r="F54" i="1" s="1"/>
  <c r="G54" i="1" s="1"/>
  <c r="AD61" i="1"/>
  <c r="AA61" i="1"/>
  <c r="X50" i="1"/>
  <c r="V14" i="1"/>
  <c r="V35" i="1"/>
  <c r="V32" i="1"/>
  <c r="V23" i="1"/>
  <c r="V11" i="1"/>
  <c r="V38" i="1"/>
  <c r="V26" i="1"/>
  <c r="V20" i="1"/>
  <c r="V29" i="1"/>
  <c r="V17" i="1"/>
  <c r="U38" i="1"/>
  <c r="U26" i="1"/>
  <c r="U32" i="1"/>
  <c r="U14" i="1"/>
  <c r="U29" i="1"/>
  <c r="U35" i="1"/>
  <c r="U23" i="1"/>
  <c r="U11" i="1"/>
  <c r="U20" i="1"/>
  <c r="U17" i="1"/>
  <c r="U50" i="1"/>
  <c r="AA22" i="1"/>
  <c r="AD22" i="1" s="1"/>
  <c r="Y10" i="1"/>
  <c r="W35" i="1"/>
  <c r="W29" i="1"/>
  <c r="W32" i="1"/>
  <c r="W23" i="1"/>
  <c r="W11" i="1"/>
  <c r="W14" i="1"/>
  <c r="W38" i="1"/>
  <c r="W26" i="1"/>
  <c r="W20" i="1"/>
  <c r="W17" i="1"/>
  <c r="AA59" i="1"/>
  <c r="AD59" i="1" s="1"/>
  <c r="V50" i="1"/>
  <c r="AD62" i="1"/>
  <c r="AA62" i="1"/>
  <c r="Y50" i="1"/>
  <c r="X35" i="1"/>
  <c r="X23" i="1"/>
  <c r="X11" i="1"/>
  <c r="X32" i="1"/>
  <c r="X38" i="1"/>
  <c r="X26" i="1"/>
  <c r="X20" i="1"/>
  <c r="X17" i="1"/>
  <c r="X29" i="1"/>
  <c r="X14" i="1"/>
  <c r="O14" i="1"/>
  <c r="Y41" i="1" l="1"/>
  <c r="Y44" i="1"/>
  <c r="I11" i="1"/>
  <c r="F14" i="1" s="1"/>
  <c r="G14" i="1" s="1"/>
  <c r="X75" i="1"/>
  <c r="X63" i="1"/>
  <c r="X72" i="1"/>
  <c r="X60" i="1"/>
  <c r="X69" i="1"/>
  <c r="X51" i="1"/>
  <c r="X66" i="1"/>
  <c r="X78" i="1"/>
  <c r="X54" i="1"/>
  <c r="X57" i="1"/>
  <c r="Y75" i="1"/>
  <c r="Y63" i="1"/>
  <c r="Y72" i="1"/>
  <c r="Y51" i="1"/>
  <c r="Y69" i="1"/>
  <c r="Y57" i="1"/>
  <c r="Y78" i="1"/>
  <c r="Y66" i="1"/>
  <c r="Y54" i="1"/>
  <c r="Y60" i="1"/>
  <c r="U69" i="1"/>
  <c r="U57" i="1"/>
  <c r="U78" i="1"/>
  <c r="U66" i="1"/>
  <c r="U54" i="1"/>
  <c r="U75" i="1"/>
  <c r="U63" i="1"/>
  <c r="U72" i="1"/>
  <c r="U51" i="1"/>
  <c r="U60" i="1"/>
  <c r="V78" i="1"/>
  <c r="V66" i="1"/>
  <c r="V54" i="1"/>
  <c r="V75" i="1"/>
  <c r="V72" i="1"/>
  <c r="V60" i="1"/>
  <c r="V63" i="1"/>
  <c r="V51" i="1"/>
  <c r="V69" i="1"/>
  <c r="V57" i="1"/>
  <c r="W49" i="1"/>
  <c r="V49" i="1"/>
  <c r="R17" i="1"/>
  <c r="O17" i="1"/>
  <c r="U49" i="1"/>
  <c r="Y32" i="1"/>
  <c r="Y38" i="1"/>
  <c r="Y26" i="1"/>
  <c r="Y11" i="1"/>
  <c r="Y20" i="1"/>
  <c r="Y23" i="1"/>
  <c r="Y17" i="1"/>
  <c r="Y29" i="1"/>
  <c r="Y14" i="1"/>
  <c r="Y35" i="1"/>
  <c r="H54" i="1"/>
  <c r="I54" i="1" s="1"/>
  <c r="F57" i="1" s="1"/>
  <c r="G57" i="1" s="1"/>
  <c r="W78" i="1"/>
  <c r="W66" i="1"/>
  <c r="W54" i="1"/>
  <c r="W75" i="1"/>
  <c r="W63" i="1"/>
  <c r="W72" i="1"/>
  <c r="W51" i="1"/>
  <c r="W60" i="1"/>
  <c r="W69" i="1"/>
  <c r="W57" i="1"/>
  <c r="O57" i="1"/>
  <c r="R57" i="1"/>
  <c r="P60" i="1" s="1"/>
  <c r="X49" i="1"/>
  <c r="P20" i="1" l="1"/>
  <c r="R20" i="1" s="1"/>
  <c r="P23" i="1" s="1"/>
  <c r="H14" i="1"/>
  <c r="I14" i="1" s="1"/>
  <c r="F17" i="1" s="1"/>
  <c r="G17" i="1" s="1"/>
  <c r="H17" i="1" s="1"/>
  <c r="M14" i="1"/>
  <c r="L17" i="1" s="1"/>
  <c r="H57" i="1"/>
  <c r="I57" i="1" s="1"/>
  <c r="F60" i="1" s="1"/>
  <c r="G60" i="1" s="1"/>
  <c r="Y49" i="1"/>
  <c r="O20" i="1"/>
  <c r="O63" i="1"/>
  <c r="R60" i="1"/>
  <c r="O60" i="1"/>
  <c r="P63" i="1" l="1"/>
  <c r="R63" i="1" s="1"/>
  <c r="P66" i="1" s="1"/>
  <c r="R66" i="1" s="1"/>
  <c r="P69" i="1" s="1"/>
  <c r="M17" i="1"/>
  <c r="L20" i="1" s="1"/>
  <c r="I17" i="1"/>
  <c r="F20" i="1" s="1"/>
  <c r="G20" i="1" s="1"/>
  <c r="O23" i="1"/>
  <c r="R23" i="1"/>
  <c r="P26" i="1" s="1"/>
  <c r="H60" i="1"/>
  <c r="I60" i="1" s="1"/>
  <c r="F63" i="1" s="1"/>
  <c r="G63" i="1" s="1"/>
  <c r="O66" i="1" l="1"/>
  <c r="H20" i="1"/>
  <c r="I20" i="1" s="1"/>
  <c r="F23" i="1" s="1"/>
  <c r="G23" i="1" s="1"/>
  <c r="H23" i="1" s="1"/>
  <c r="M20" i="1"/>
  <c r="L23" i="1" s="1"/>
  <c r="F66" i="1"/>
  <c r="G66" i="1" s="1"/>
  <c r="H63" i="1"/>
  <c r="I63" i="1" s="1"/>
  <c r="O69" i="1"/>
  <c r="R69" i="1"/>
  <c r="P72" i="1" s="1"/>
  <c r="O26" i="1"/>
  <c r="R26" i="1"/>
  <c r="P29" i="1" s="1"/>
  <c r="I23" i="1" l="1"/>
  <c r="F26" i="1" s="1"/>
  <c r="G26" i="1" s="1"/>
  <c r="H26" i="1" s="1"/>
  <c r="I26" i="1" s="1"/>
  <c r="F29" i="1" s="1"/>
  <c r="G29" i="1" s="1"/>
  <c r="M23" i="1"/>
  <c r="L26" i="1" s="1"/>
  <c r="R72" i="1"/>
  <c r="P75" i="1" s="1"/>
  <c r="O72" i="1"/>
  <c r="R29" i="1"/>
  <c r="P32" i="1" s="1"/>
  <c r="O29" i="1"/>
  <c r="M66" i="1"/>
  <c r="F69" i="1"/>
  <c r="G69" i="1" s="1"/>
  <c r="H66" i="1"/>
  <c r="I66" i="1" s="1"/>
  <c r="M26" i="1" l="1"/>
  <c r="L29" i="1" s="1"/>
  <c r="M29" i="1" s="1"/>
  <c r="L32" i="1" s="1"/>
  <c r="H29" i="1"/>
  <c r="F72" i="1"/>
  <c r="G72" i="1" s="1"/>
  <c r="H69" i="1"/>
  <c r="I69" i="1" s="1"/>
  <c r="M69" i="1"/>
  <c r="O32" i="1"/>
  <c r="R32" i="1"/>
  <c r="P35" i="1" s="1"/>
  <c r="O75" i="1"/>
  <c r="R75" i="1"/>
  <c r="P78" i="1" s="1"/>
  <c r="I29" i="1" l="1"/>
  <c r="F32" i="1" s="1"/>
  <c r="G32" i="1" s="1"/>
  <c r="H32" i="1" s="1"/>
  <c r="I32" i="1" s="1"/>
  <c r="R35" i="1"/>
  <c r="P38" i="1" s="1"/>
  <c r="O35" i="1"/>
  <c r="M72" i="1"/>
  <c r="H72" i="1"/>
  <c r="I72" i="1" s="1"/>
  <c r="F75" i="1"/>
  <c r="G75" i="1" s="1"/>
  <c r="R78" i="1"/>
  <c r="O78" i="1"/>
  <c r="F35" i="1" l="1"/>
  <c r="G35" i="1" s="1"/>
  <c r="M32" i="1"/>
  <c r="M75" i="1"/>
  <c r="F78" i="1"/>
  <c r="G78" i="1" s="1"/>
  <c r="H75" i="1"/>
  <c r="I75" i="1" s="1"/>
  <c r="O38" i="1"/>
  <c r="R38" i="1"/>
  <c r="P41" i="1" s="1"/>
  <c r="R41" i="1" l="1"/>
  <c r="P44" i="1" s="1"/>
  <c r="O41" i="1"/>
  <c r="L35" i="1"/>
  <c r="M35" i="1" s="1"/>
  <c r="L38" i="1" s="1"/>
  <c r="H35" i="1"/>
  <c r="I35" i="1" s="1"/>
  <c r="F38" i="1" s="1"/>
  <c r="G38" i="1" s="1"/>
  <c r="H78" i="1"/>
  <c r="I78" i="1" s="1"/>
  <c r="M78" i="1"/>
  <c r="R44" i="1" l="1"/>
  <c r="O44" i="1"/>
  <c r="M38" i="1"/>
  <c r="L41" i="1" s="1"/>
  <c r="H38" i="1"/>
  <c r="I38" i="1" s="1"/>
  <c r="F41" i="1" s="1"/>
  <c r="G41" i="1" s="1"/>
  <c r="F44" i="1" s="1"/>
  <c r="G44" i="1" s="1"/>
  <c r="H44" i="1" s="1"/>
  <c r="I44" i="1" s="1"/>
  <c r="M41" i="1" l="1"/>
  <c r="L44" i="1" s="1"/>
  <c r="M44" i="1" s="1"/>
  <c r="L51" i="1" s="1"/>
  <c r="M51" i="1" s="1"/>
  <c r="L54" i="1" s="1"/>
  <c r="M54" i="1" s="1"/>
  <c r="L57" i="1" s="1"/>
  <c r="M57" i="1" s="1"/>
  <c r="L60" i="1" s="1"/>
  <c r="M60" i="1" s="1"/>
  <c r="L63" i="1" s="1"/>
  <c r="M63" i="1" s="1"/>
  <c r="H41" i="1"/>
  <c r="I41" i="1" s="1"/>
</calcChain>
</file>

<file path=xl/sharedStrings.xml><?xml version="1.0" encoding="utf-8"?>
<sst xmlns="http://schemas.openxmlformats.org/spreadsheetml/2006/main" count="217" uniqueCount="88">
  <si>
    <t>Driver</t>
  </si>
  <si>
    <t>Laptime</t>
  </si>
  <si>
    <t>Fuel / lap</t>
  </si>
  <si>
    <t>Lap Expec</t>
  </si>
  <si>
    <t>TEST ITEMS</t>
  </si>
  <si>
    <t>OFF TRACK TESTS</t>
  </si>
  <si>
    <t>L</t>
  </si>
  <si>
    <t>kg</t>
  </si>
  <si>
    <t>Expected End</t>
  </si>
  <si>
    <t>LAPS</t>
  </si>
  <si>
    <t>MILEAGE</t>
  </si>
  <si>
    <t>Sess Alar</t>
  </si>
  <si>
    <t>Rig Flow</t>
  </si>
  <si>
    <t>Std stop</t>
  </si>
  <si>
    <t>TC map</t>
  </si>
  <si>
    <t>STINT</t>
  </si>
  <si>
    <t>RUN</t>
  </si>
  <si>
    <t>DRIVER</t>
  </si>
  <si>
    <t>LAPTIME</t>
  </si>
  <si>
    <t>TIME OUT</t>
  </si>
  <si>
    <t>TIME IN</t>
  </si>
  <si>
    <t>RUN 
DURATION</t>
  </si>
  <si>
    <t>STOP</t>
  </si>
  <si>
    <t>TIRES SET</t>
  </si>
  <si>
    <t>COMPOUND</t>
  </si>
  <si>
    <t>TIRES MILEAGE (KM)</t>
  </si>
  <si>
    <t>FUEL (KG)</t>
  </si>
  <si>
    <t>NOTES</t>
  </si>
  <si>
    <t>SESS LAPS</t>
  </si>
  <si>
    <t>laps</t>
  </si>
  <si>
    <t>START</t>
  </si>
  <si>
    <t>END</t>
  </si>
  <si>
    <t>ADDED</t>
  </si>
  <si>
    <t>REFUELLING</t>
  </si>
  <si>
    <t>BURNT</t>
  </si>
  <si>
    <t>SESS MIL</t>
  </si>
  <si>
    <t>km</t>
  </si>
  <si>
    <t>Before leaving the pits</t>
  </si>
  <si>
    <t xml:space="preserve">Settings </t>
  </si>
  <si>
    <t>During driving</t>
  </si>
  <si>
    <t>Engine/System tests</t>
  </si>
  <si>
    <t>SO FAR</t>
  </si>
  <si>
    <t>AERO TEST</t>
  </si>
  <si>
    <t>Brakes cooling</t>
  </si>
  <si>
    <t>RD</t>
  </si>
  <si>
    <t>SO FAR LAPS</t>
  </si>
  <si>
    <t>SO FAR MIL</t>
  </si>
  <si>
    <t>TC Gain sweep 1 to 5</t>
  </si>
  <si>
    <t xml:space="preserve"> TC Slip sweep 2 / 4 / 6 / 8 / 10</t>
  </si>
  <si>
    <t>TC Step 2b</t>
  </si>
  <si>
    <t>TC Step 1b.  Open all inlets, blank all outlets.</t>
  </si>
  <si>
    <t>TC Step 1c. Open left and right doors outlet.</t>
  </si>
  <si>
    <t>TC Step 2a. Open right door naca.</t>
  </si>
  <si>
    <t>Installation lap. Overall check of car and system. All new calibrations uploaded. All new doors ventilation blanked.</t>
  </si>
  <si>
    <t>TC Step 1a.  Blank all cockpit cooling inlets. 3rd elem. packers.</t>
  </si>
  <si>
    <r>
      <t xml:space="preserve">TC </t>
    </r>
    <r>
      <rPr>
        <sz val="10"/>
        <color rgb="FFFF0000"/>
        <rFont val="Calibri"/>
        <family val="2"/>
        <scheme val="minor"/>
      </rPr>
      <t>6</t>
    </r>
    <r>
      <rPr>
        <sz val="10"/>
        <rFont val="Calibri"/>
        <family val="2"/>
        <scheme val="minor"/>
      </rPr>
      <t>\1</t>
    </r>
  </si>
  <si>
    <t>TC Gain sweep 2 / 4 / 6 / 8 / 10</t>
  </si>
  <si>
    <t>Concentrate on the first 1s of TC activation (slip control and smoothness/oscillation).
TC entry/exit will be fixed later.</t>
  </si>
  <si>
    <r>
      <t xml:space="preserve">Now working on </t>
    </r>
    <r>
      <rPr>
        <sz val="10"/>
        <color rgb="FFFF0000"/>
        <rFont val="Calibri"/>
        <family val="2"/>
        <scheme val="minor"/>
      </rPr>
      <t xml:space="preserve">TC exit slip </t>
    </r>
    <r>
      <rPr>
        <sz val="10"/>
        <rFont val="Calibri"/>
        <family val="2"/>
        <scheme val="minor"/>
      </rPr>
      <t>threshold.</t>
    </r>
  </si>
  <si>
    <r>
      <t xml:space="preserve">Merge best TC gain options.
Now working on </t>
    </r>
    <r>
      <rPr>
        <sz val="10"/>
        <color rgb="FFFF0000"/>
        <rFont val="Calibri"/>
        <family val="2"/>
        <scheme val="minor"/>
      </rPr>
      <t>TC entry</t>
    </r>
    <r>
      <rPr>
        <sz val="10"/>
        <rFont val="Calibri"/>
        <family val="2"/>
        <scheme val="minor"/>
      </rPr>
      <t xml:space="preserve"> </t>
    </r>
    <r>
      <rPr>
        <sz val="10"/>
        <color rgb="FFFF0000"/>
        <rFont val="Calibri"/>
        <family val="2"/>
        <scheme val="minor"/>
      </rPr>
      <t>slip</t>
    </r>
    <r>
      <rPr>
        <sz val="10"/>
        <rFont val="Calibri"/>
        <family val="2"/>
        <scheme val="minor"/>
      </rPr>
      <t xml:space="preserve"> threshold.</t>
    </r>
  </si>
  <si>
    <t>Merge best TC gain options.
Adjusting TC quickness to exit.</t>
  </si>
  <si>
    <t>TC Step 3a (Integral for dslip&gt;4)</t>
  </si>
  <si>
    <t>TC Step 3b (Proportional for dslip&gt;4)</t>
  </si>
  <si>
    <t>TC Step 4a (Slip knob sensitivity)</t>
  </si>
  <si>
    <t>Adjusting TC quickness to exit.</t>
  </si>
  <si>
    <t>More TC slip control work.</t>
  </si>
  <si>
    <r>
      <t xml:space="preserve">TC </t>
    </r>
    <r>
      <rPr>
        <sz val="10"/>
        <color rgb="FFFF0000"/>
        <rFont val="Calibri"/>
        <family val="2"/>
        <scheme val="minor"/>
      </rPr>
      <t>1</t>
    </r>
    <r>
      <rPr>
        <sz val="10"/>
        <rFont val="Calibri"/>
        <family val="2"/>
        <scheme val="minor"/>
      </rPr>
      <t>\1</t>
    </r>
  </si>
  <si>
    <r>
      <t xml:space="preserve">TC </t>
    </r>
    <r>
      <rPr>
        <sz val="10"/>
        <color rgb="FFFF0000"/>
        <rFont val="Calibri"/>
        <family val="2"/>
        <scheme val="minor"/>
      </rPr>
      <t>6</t>
    </r>
    <r>
      <rPr>
        <sz val="10"/>
        <rFont val="Calibri"/>
        <family val="2"/>
        <scheme val="minor"/>
      </rPr>
      <t>\2</t>
    </r>
  </si>
  <si>
    <t>Engine mode 1 to 12.</t>
  </si>
  <si>
    <t>Stop in pitlane a pull away without PIT LIMITER.</t>
  </si>
  <si>
    <t>Boost control test.</t>
  </si>
  <si>
    <t>P21 integral reset</t>
  </si>
  <si>
    <t>P21 integral gain</t>
  </si>
  <si>
    <t>Basic adjustment of non-working new maps.
Launch control automatic enabling test.
Ask to short-shift to check dog-to-dog.</t>
  </si>
  <si>
    <r>
      <t xml:space="preserve">TC </t>
    </r>
    <r>
      <rPr>
        <sz val="10"/>
        <color rgb="FFFF0000"/>
        <rFont val="Calibri"/>
        <family val="2"/>
        <scheme val="minor"/>
      </rPr>
      <t>6</t>
    </r>
    <r>
      <rPr>
        <sz val="10"/>
        <rFont val="Calibri"/>
        <family val="2"/>
        <scheme val="minor"/>
      </rPr>
      <t>\1. MAP 2. PEDAL 2.</t>
    </r>
  </si>
  <si>
    <t>Old pedal 2 goes to map 1.
Pedal 2 and 3 test. (Smoother).</t>
  </si>
  <si>
    <t>MAX: Launch control test all outings.</t>
  </si>
  <si>
    <t>ADRIEN: Engine life</t>
  </si>
  <si>
    <t>IGOR: TC calibration with Stefano</t>
  </si>
  <si>
    <t>Main responsibilities:</t>
  </si>
  <si>
    <t>FCY</t>
  </si>
  <si>
    <t>LAUNCH</t>
  </si>
  <si>
    <t>FCY. MAP 2 / 5 / 7 / 9 / 10</t>
  </si>
  <si>
    <t>FCY test + engine power control.</t>
  </si>
  <si>
    <t>Closed loop power control adjustment.</t>
  </si>
  <si>
    <r>
      <t xml:space="preserve">Check TC Slip knob sensitivity.
</t>
    </r>
    <r>
      <rPr>
        <sz val="10"/>
        <color rgb="FF0070C0"/>
        <rFont val="Calibri"/>
        <family val="2"/>
        <scheme val="minor"/>
      </rPr>
      <t>Fuel run-out.
Drain and compare ECU / FFM / Real consumption.</t>
    </r>
  </si>
  <si>
    <r>
      <t xml:space="preserve">Long run or more calibration if needed.
Fuel run-out.
</t>
    </r>
    <r>
      <rPr>
        <sz val="10"/>
        <color rgb="FF0070C0"/>
        <rFont val="Calibri"/>
        <family val="2"/>
        <scheme val="minor"/>
      </rPr>
      <t>Drain and compare ECU / FFM / Real consumption.</t>
    </r>
  </si>
  <si>
    <t>me_max +1%.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</si>
</sst>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m:ss.0"/>
    <numFmt numFmtId="166" formatCode="0.00&quot; L&quot;"/>
    <numFmt numFmtId="167" formatCode="0.00&quot; kg&quot;"/>
    <numFmt numFmtId="168" formatCode="0&quot; L&quot;"/>
    <numFmt numFmtId="169" formatCode="0&quot; km&quot;"/>
    <numFmt numFmtId="170" formatCode="0.00&quot; kg/s&quot;"/>
    <numFmt numFmtId="171" formatCode="mm:ss.00"/>
    <numFmt numFmtId="172" formatCode="0&quot; kg&quot;"/>
    <numFmt numFmtId="173" formatCode="0.0&quot; s&quot;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538DD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166" fontId="5" fillId="0" borderId="9" xfId="0" applyNumberFormat="1" applyFont="1" applyBorder="1" applyAlignment="1">
      <alignment horizontal="center" vertical="center"/>
    </xf>
    <xf numFmtId="167" fontId="5" fillId="0" borderId="9" xfId="0" applyNumberFormat="1" applyFont="1" applyBorder="1" applyAlignment="1">
      <alignment horizontal="center" vertical="center"/>
    </xf>
    <xf numFmtId="1" fontId="5" fillId="5" borderId="3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5" fillId="0" borderId="0" xfId="0" applyFont="1"/>
    <xf numFmtId="0" fontId="6" fillId="7" borderId="13" xfId="0" applyFont="1" applyFill="1" applyBorder="1" applyAlignment="1">
      <alignment horizontal="center" vertical="center"/>
    </xf>
    <xf numFmtId="165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7" fontId="5" fillId="0" borderId="15" xfId="0" applyNumberFormat="1" applyFont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168" fontId="6" fillId="0" borderId="17" xfId="0" applyNumberFormat="1" applyFont="1" applyBorder="1" applyAlignment="1">
      <alignment horizontal="center" vertical="center"/>
    </xf>
    <xf numFmtId="169" fontId="6" fillId="0" borderId="18" xfId="0" applyNumberFormat="1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170" fontId="5" fillId="0" borderId="19" xfId="0" applyNumberFormat="1" applyFont="1" applyBorder="1" applyAlignment="1">
      <alignment horizontal="center" vertical="center"/>
    </xf>
    <xf numFmtId="46" fontId="5" fillId="0" borderId="19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6" fillId="8" borderId="13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6" fillId="9" borderId="13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46" fontId="5" fillId="0" borderId="0" xfId="0" applyNumberFormat="1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165" fontId="5" fillId="0" borderId="5" xfId="0" applyNumberFormat="1" applyFont="1" applyBorder="1" applyAlignment="1">
      <alignment horizontal="center" vertical="center"/>
    </xf>
    <xf numFmtId="166" fontId="5" fillId="0" borderId="22" xfId="0" applyNumberFormat="1" applyFont="1" applyBorder="1" applyAlignment="1">
      <alignment horizontal="center" vertical="center"/>
    </xf>
    <xf numFmtId="167" fontId="5" fillId="0" borderId="22" xfId="0" applyNumberFormat="1" applyFont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/>
    </xf>
    <xf numFmtId="164" fontId="15" fillId="2" borderId="14" xfId="0" applyNumberFormat="1" applyFont="1" applyFill="1" applyBorder="1" applyAlignment="1">
      <alignment horizontal="left"/>
    </xf>
    <xf numFmtId="0" fontId="14" fillId="2" borderId="5" xfId="0" applyFont="1" applyFill="1" applyBorder="1" applyAlignment="1">
      <alignment horizontal="center" vertical="center"/>
    </xf>
    <xf numFmtId="0" fontId="8" fillId="0" borderId="25" xfId="0" applyFont="1" applyBorder="1"/>
    <xf numFmtId="0" fontId="8" fillId="0" borderId="14" xfId="0" applyFont="1" applyBorder="1" applyAlignment="1">
      <alignment horizontal="center" vertical="center"/>
    </xf>
    <xf numFmtId="1" fontId="8" fillId="0" borderId="14" xfId="0" applyNumberFormat="1" applyFont="1" applyBorder="1" applyAlignment="1">
      <alignment horizontal="center"/>
    </xf>
    <xf numFmtId="171" fontId="8" fillId="5" borderId="14" xfId="0" applyNumberFormat="1" applyFont="1" applyFill="1" applyBorder="1" applyAlignment="1">
      <alignment horizontal="center" vertical="center"/>
    </xf>
    <xf numFmtId="46" fontId="8" fillId="5" borderId="14" xfId="0" applyNumberFormat="1" applyFont="1" applyFill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1" fontId="8" fillId="5" borderId="14" xfId="0" applyNumberFormat="1" applyFont="1" applyFill="1" applyBorder="1" applyAlignment="1">
      <alignment horizontal="center" vertical="center"/>
    </xf>
    <xf numFmtId="172" fontId="8" fillId="0" borderId="14" xfId="0" applyNumberFormat="1" applyFont="1" applyBorder="1" applyAlignment="1">
      <alignment horizontal="center" vertical="center"/>
    </xf>
    <xf numFmtId="173" fontId="8" fillId="5" borderId="14" xfId="0" applyNumberFormat="1" applyFont="1" applyFill="1" applyBorder="1" applyAlignment="1">
      <alignment horizontal="center" vertical="center"/>
    </xf>
    <xf numFmtId="172" fontId="8" fillId="5" borderId="14" xfId="0" applyNumberFormat="1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/>
    </xf>
    <xf numFmtId="0" fontId="2" fillId="2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11" borderId="14" xfId="0" applyFont="1" applyFill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/>
    </xf>
    <xf numFmtId="0" fontId="15" fillId="2" borderId="0" xfId="0" applyFont="1" applyFill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164" fontId="9" fillId="2" borderId="14" xfId="0" applyNumberFormat="1" applyFont="1" applyFill="1" applyBorder="1" applyAlignment="1">
      <alignment horizontal="left"/>
    </xf>
    <xf numFmtId="0" fontId="2" fillId="2" borderId="26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171" fontId="16" fillId="11" borderId="29" xfId="0" applyNumberFormat="1" applyFont="1" applyFill="1" applyBorder="1" applyAlignment="1">
      <alignment horizontal="center" vertical="center"/>
    </xf>
    <xf numFmtId="171" fontId="16" fillId="11" borderId="30" xfId="0" applyNumberFormat="1" applyFont="1" applyFill="1" applyBorder="1" applyAlignment="1">
      <alignment horizontal="center" vertical="center"/>
    </xf>
    <xf numFmtId="171" fontId="16" fillId="11" borderId="31" xfId="0" applyNumberFormat="1" applyFont="1" applyFill="1" applyBorder="1" applyAlignment="1">
      <alignment horizontal="center" vertical="center"/>
    </xf>
    <xf numFmtId="46" fontId="16" fillId="11" borderId="29" xfId="0" applyNumberFormat="1" applyFont="1" applyFill="1" applyBorder="1" applyAlignment="1">
      <alignment horizontal="center" vertical="center"/>
    </xf>
    <xf numFmtId="46" fontId="16" fillId="11" borderId="30" xfId="0" applyNumberFormat="1" applyFont="1" applyFill="1" applyBorder="1" applyAlignment="1">
      <alignment horizontal="center" vertical="center"/>
    </xf>
    <xf numFmtId="46" fontId="16" fillId="11" borderId="31" xfId="0" applyNumberFormat="1" applyFont="1" applyFill="1" applyBorder="1" applyAlignment="1">
      <alignment horizontal="center" vertical="center"/>
    </xf>
    <xf numFmtId="173" fontId="16" fillId="11" borderId="29" xfId="0" applyNumberFormat="1" applyFont="1" applyFill="1" applyBorder="1" applyAlignment="1">
      <alignment horizontal="center" vertical="center"/>
    </xf>
    <xf numFmtId="173" fontId="16" fillId="11" borderId="30" xfId="0" applyNumberFormat="1" applyFont="1" applyFill="1" applyBorder="1" applyAlignment="1">
      <alignment horizontal="center" vertical="center"/>
    </xf>
    <xf numFmtId="173" fontId="16" fillId="11" borderId="31" xfId="0" applyNumberFormat="1" applyFont="1" applyFill="1" applyBorder="1" applyAlignment="1">
      <alignment horizontal="center" vertical="center"/>
    </xf>
    <xf numFmtId="171" fontId="8" fillId="0" borderId="42" xfId="0" applyNumberFormat="1" applyFont="1" applyBorder="1" applyAlignment="1">
      <alignment horizontal="center" vertical="center" wrapText="1"/>
    </xf>
    <xf numFmtId="171" fontId="8" fillId="0" borderId="43" xfId="0" applyNumberFormat="1" applyFont="1" applyBorder="1" applyAlignment="1">
      <alignment horizontal="center" vertical="center" wrapText="1"/>
    </xf>
    <xf numFmtId="171" fontId="8" fillId="0" borderId="44" xfId="0" applyNumberFormat="1" applyFont="1" applyBorder="1" applyAlignment="1">
      <alignment horizontal="center" vertical="center" wrapText="1"/>
    </xf>
    <xf numFmtId="46" fontId="8" fillId="0" borderId="42" xfId="0" applyNumberFormat="1" applyFont="1" applyBorder="1" applyAlignment="1">
      <alignment horizontal="center" vertical="center" wrapText="1"/>
    </xf>
    <xf numFmtId="46" fontId="8" fillId="0" borderId="43" xfId="0" applyNumberFormat="1" applyFont="1" applyBorder="1" applyAlignment="1">
      <alignment horizontal="center" vertical="center" wrapText="1"/>
    </xf>
    <xf numFmtId="46" fontId="8" fillId="0" borderId="44" xfId="0" applyNumberFormat="1" applyFont="1" applyBorder="1" applyAlignment="1">
      <alignment horizontal="center" vertical="center" wrapText="1"/>
    </xf>
    <xf numFmtId="173" fontId="8" fillId="0" borderId="42" xfId="0" applyNumberFormat="1" applyFont="1" applyBorder="1" applyAlignment="1">
      <alignment horizontal="center" vertical="center" wrapText="1"/>
    </xf>
    <xf numFmtId="173" fontId="8" fillId="0" borderId="43" xfId="0" applyNumberFormat="1" applyFont="1" applyBorder="1" applyAlignment="1">
      <alignment horizontal="center" vertical="center" wrapText="1"/>
    </xf>
    <xf numFmtId="173" fontId="8" fillId="0" borderId="44" xfId="0" applyNumberFormat="1" applyFont="1" applyBorder="1" applyAlignment="1">
      <alignment horizontal="center" vertical="center" wrapText="1"/>
    </xf>
    <xf numFmtId="1" fontId="11" fillId="5" borderId="15" xfId="0" applyNumberFormat="1" applyFont="1" applyFill="1" applyBorder="1" applyAlignment="1">
      <alignment horizontal="center" vertical="center"/>
    </xf>
    <xf numFmtId="1" fontId="11" fillId="5" borderId="23" xfId="0" applyNumberFormat="1" applyFont="1" applyFill="1" applyBorder="1" applyAlignment="1">
      <alignment horizontal="center" vertical="center"/>
    </xf>
    <xf numFmtId="1" fontId="11" fillId="5" borderId="24" xfId="0" applyNumberFormat="1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1" fontId="7" fillId="5" borderId="15" xfId="0" applyNumberFormat="1" applyFont="1" applyFill="1" applyBorder="1" applyAlignment="1">
      <alignment horizontal="center"/>
    </xf>
    <xf numFmtId="1" fontId="7" fillId="5" borderId="23" xfId="0" applyNumberFormat="1" applyFont="1" applyFill="1" applyBorder="1" applyAlignment="1">
      <alignment horizontal="center"/>
    </xf>
    <xf numFmtId="1" fontId="7" fillId="5" borderId="24" xfId="0" applyNumberFormat="1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left" vertical="center"/>
    </xf>
    <xf numFmtId="1" fontId="11" fillId="5" borderId="15" xfId="0" applyNumberFormat="1" applyFont="1" applyFill="1" applyBorder="1" applyAlignment="1">
      <alignment horizontal="center"/>
    </xf>
    <xf numFmtId="1" fontId="11" fillId="5" borderId="23" xfId="0" applyNumberFormat="1" applyFont="1" applyFill="1" applyBorder="1" applyAlignment="1">
      <alignment horizontal="center"/>
    </xf>
    <xf numFmtId="1" fontId="11" fillId="5" borderId="24" xfId="0" applyNumberFormat="1" applyFont="1" applyFill="1" applyBorder="1" applyAlignment="1">
      <alignment horizontal="center"/>
    </xf>
    <xf numFmtId="0" fontId="13" fillId="2" borderId="14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 wrapText="1"/>
    </xf>
    <xf numFmtId="1" fontId="14" fillId="2" borderId="14" xfId="0" applyNumberFormat="1" applyFont="1" applyFill="1" applyBorder="1" applyAlignment="1">
      <alignment horizontal="center" vertical="center" wrapText="1"/>
    </xf>
    <xf numFmtId="164" fontId="2" fillId="2" borderId="14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left" vertical="center"/>
    </xf>
    <xf numFmtId="0" fontId="17" fillId="12" borderId="36" xfId="0" applyFont="1" applyFill="1" applyBorder="1" applyAlignment="1">
      <alignment horizontal="center" vertical="center"/>
    </xf>
    <xf numFmtId="0" fontId="17" fillId="12" borderId="37" xfId="0" applyFont="1" applyFill="1" applyBorder="1" applyAlignment="1">
      <alignment horizontal="center" vertical="center"/>
    </xf>
    <xf numFmtId="0" fontId="17" fillId="12" borderId="38" xfId="0" applyFont="1" applyFill="1" applyBorder="1" applyAlignment="1">
      <alignment horizontal="center" vertical="center"/>
    </xf>
    <xf numFmtId="0" fontId="17" fillId="12" borderId="39" xfId="0" applyFont="1" applyFill="1" applyBorder="1" applyAlignment="1">
      <alignment horizontal="center" vertical="center"/>
    </xf>
    <xf numFmtId="0" fontId="17" fillId="12" borderId="40" xfId="0" applyFont="1" applyFill="1" applyBorder="1" applyAlignment="1">
      <alignment horizontal="center" vertical="center"/>
    </xf>
    <xf numFmtId="0" fontId="17" fillId="12" borderId="41" xfId="0" applyFont="1" applyFill="1" applyBorder="1" applyAlignment="1">
      <alignment horizontal="center" vertical="center"/>
    </xf>
    <xf numFmtId="49" fontId="8" fillId="0" borderId="26" xfId="0" applyNumberFormat="1" applyFont="1" applyBorder="1" applyAlignment="1">
      <alignment vertical="top" wrapText="1"/>
    </xf>
    <xf numFmtId="49" fontId="8" fillId="0" borderId="28" xfId="0" applyNumberFormat="1" applyFont="1" applyBorder="1" applyAlignment="1">
      <alignment vertical="top" wrapText="1"/>
    </xf>
    <xf numFmtId="49" fontId="8" fillId="0" borderId="32" xfId="0" applyNumberFormat="1" applyFont="1" applyBorder="1" applyAlignment="1">
      <alignment vertical="top" wrapText="1"/>
    </xf>
    <xf numFmtId="49" fontId="18" fillId="0" borderId="26" xfId="0" applyNumberFormat="1" applyFont="1" applyBorder="1" applyAlignment="1">
      <alignment vertical="top" wrapText="1"/>
    </xf>
    <xf numFmtId="49" fontId="18" fillId="0" borderId="28" xfId="0" applyNumberFormat="1" applyFont="1" applyBorder="1" applyAlignment="1">
      <alignment vertical="top" wrapText="1"/>
    </xf>
    <xf numFmtId="49" fontId="18" fillId="0" borderId="32" xfId="0" applyNumberFormat="1" applyFont="1" applyBorder="1" applyAlignment="1">
      <alignment vertical="top" wrapText="1"/>
    </xf>
    <xf numFmtId="49" fontId="8" fillId="0" borderId="26" xfId="0" applyNumberFormat="1" applyFont="1" applyBorder="1" applyAlignment="1">
      <alignment horizontal="center" vertical="top" wrapText="1"/>
    </xf>
    <xf numFmtId="49" fontId="8" fillId="0" borderId="28" xfId="0" applyNumberFormat="1" applyFont="1" applyBorder="1" applyAlignment="1">
      <alignment horizontal="center" vertical="top" wrapText="1"/>
    </xf>
    <xf numFmtId="49" fontId="8" fillId="0" borderId="32" xfId="0" applyNumberFormat="1" applyFont="1" applyBorder="1" applyAlignment="1">
      <alignment horizontal="center" vertical="top" wrapText="1"/>
    </xf>
    <xf numFmtId="171" fontId="8" fillId="0" borderId="33" xfId="0" applyNumberFormat="1" applyFont="1" applyBorder="1" applyAlignment="1">
      <alignment horizontal="center" vertical="center" wrapText="1"/>
    </xf>
    <xf numFmtId="171" fontId="8" fillId="0" borderId="34" xfId="0" applyNumberFormat="1" applyFont="1" applyBorder="1" applyAlignment="1">
      <alignment horizontal="center" vertical="center" wrapText="1"/>
    </xf>
    <xf numFmtId="171" fontId="8" fillId="0" borderId="35" xfId="0" applyNumberFormat="1" applyFont="1" applyBorder="1" applyAlignment="1">
      <alignment horizontal="center" vertical="center" wrapText="1"/>
    </xf>
    <xf numFmtId="49" fontId="8" fillId="0" borderId="26" xfId="0" applyNumberFormat="1" applyFont="1" applyBorder="1" applyAlignment="1">
      <alignment horizontal="left" vertical="top" wrapText="1"/>
    </xf>
    <xf numFmtId="49" fontId="8" fillId="0" borderId="28" xfId="0" applyNumberFormat="1" applyFont="1" applyBorder="1" applyAlignment="1">
      <alignment horizontal="left" vertical="top" wrapText="1"/>
    </xf>
    <xf numFmtId="49" fontId="8" fillId="0" borderId="32" xfId="0" applyNumberFormat="1" applyFont="1" applyBorder="1" applyAlignment="1">
      <alignment horizontal="left" vertical="top" wrapText="1"/>
    </xf>
    <xf numFmtId="0" fontId="12" fillId="2" borderId="26" xfId="0" applyFont="1" applyFill="1" applyBorder="1" applyAlignment="1">
      <alignment horizontal="center" vertical="center" textRotation="90"/>
    </xf>
    <xf numFmtId="0" fontId="12" fillId="2" borderId="28" xfId="0" applyFont="1" applyFill="1" applyBorder="1" applyAlignment="1">
      <alignment horizontal="center" vertical="center" textRotation="90"/>
    </xf>
    <xf numFmtId="46" fontId="19" fillId="0" borderId="33" xfId="0" applyNumberFormat="1" applyFont="1" applyBorder="1" applyAlignment="1">
      <alignment horizontal="center" vertical="center" wrapText="1"/>
    </xf>
    <xf numFmtId="46" fontId="19" fillId="0" borderId="34" xfId="0" applyNumberFormat="1" applyFont="1" applyBorder="1" applyAlignment="1">
      <alignment horizontal="center" vertical="center" wrapText="1"/>
    </xf>
    <xf numFmtId="46" fontId="19" fillId="0" borderId="35" xfId="0" applyNumberFormat="1" applyFont="1" applyBorder="1" applyAlignment="1">
      <alignment horizontal="center" vertical="center" wrapText="1"/>
    </xf>
    <xf numFmtId="173" fontId="8" fillId="0" borderId="33" xfId="0" applyNumberFormat="1" applyFont="1" applyBorder="1" applyAlignment="1">
      <alignment horizontal="center" vertical="center" wrapText="1"/>
    </xf>
    <xf numFmtId="173" fontId="8" fillId="0" borderId="34" xfId="0" applyNumberFormat="1" applyFont="1" applyBorder="1" applyAlignment="1">
      <alignment horizontal="center" vertical="center" wrapText="1"/>
    </xf>
    <xf numFmtId="173" fontId="8" fillId="0" borderId="35" xfId="0" applyNumberFormat="1" applyFont="1" applyBorder="1" applyAlignment="1">
      <alignment horizontal="center" vertical="center" wrapText="1"/>
    </xf>
    <xf numFmtId="46" fontId="8" fillId="0" borderId="33" xfId="0" applyNumberFormat="1" applyFont="1" applyBorder="1" applyAlignment="1">
      <alignment horizontal="center" vertical="center" wrapText="1"/>
    </xf>
    <xf numFmtId="46" fontId="8" fillId="0" borderId="34" xfId="0" applyNumberFormat="1" applyFont="1" applyBorder="1" applyAlignment="1">
      <alignment horizontal="center" vertical="center" wrapText="1"/>
    </xf>
    <xf numFmtId="46" fontId="8" fillId="0" borderId="35" xfId="0" applyNumberFormat="1" applyFont="1" applyBorder="1" applyAlignment="1">
      <alignment horizontal="center" vertical="center" wrapText="1"/>
    </xf>
    <xf numFmtId="49" fontId="8" fillId="0" borderId="27" xfId="0" applyNumberFormat="1" applyFont="1" applyBorder="1" applyAlignment="1">
      <alignment vertical="top" wrapText="1"/>
    </xf>
    <xf numFmtId="0" fontId="2" fillId="2" borderId="5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1" fontId="2" fillId="2" borderId="5" xfId="0" applyNumberFormat="1" applyFont="1" applyFill="1" applyBorder="1" applyAlignment="1">
      <alignment horizontal="center" vertical="center"/>
    </xf>
    <xf numFmtId="1" fontId="2" fillId="2" borderId="5" xfId="0" applyNumberFormat="1" applyFont="1" applyFill="1" applyBorder="1" applyAlignment="1">
      <alignment horizontal="center" vertical="center" wrapText="1"/>
    </xf>
    <xf numFmtId="1" fontId="14" fillId="2" borderId="5" xfId="0" applyNumberFormat="1" applyFont="1" applyFill="1" applyBorder="1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2" fillId="2" borderId="45" xfId="0" applyFont="1" applyFill="1" applyBorder="1" applyAlignment="1">
      <alignment horizontal="center" vertical="center" textRotation="90"/>
    </xf>
    <xf numFmtId="0" fontId="12" fillId="2" borderId="46" xfId="0" applyFont="1" applyFill="1" applyBorder="1" applyAlignment="1">
      <alignment horizontal="center" vertical="center" textRotation="90"/>
    </xf>
    <xf numFmtId="0" fontId="21" fillId="0" borderId="0" xfId="0" applyFont="1"/>
    <xf numFmtId="0" fontId="0" fillId="0" borderId="0" xfId="0"/>
    <xf numFmtId="0" fontId="0" fillId="0" borderId="0" xfId="0" quotePrefix="1"/>
    <xf numFmtId="171" fontId="8" fillId="0" borderId="42" xfId="0" quotePrefix="1" applyNumberFormat="1" applyFont="1" applyBorder="1" applyAlignment="1">
      <alignment horizontal="center" vertical="center" wrapText="1"/>
    </xf>
  </cellXfs>
  <cellStyles count="1">
    <cellStyle name="Normal" xfId="0" builtinId="0"/>
  </cellStyles>
  <dxfs count="370"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ill>
        <patternFill>
          <bgColor rgb="FFFFFFCC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ill>
        <patternFill>
          <bgColor rgb="FFFFFFCC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ill>
        <patternFill>
          <bgColor rgb="FFFFFFCC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ill>
        <patternFill>
          <bgColor rgb="FFFFFFCC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theme="1"/>
      </font>
      <fill>
        <patternFill>
          <bgColor rgb="FFFFA7A7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152401</xdr:colOff>
      <xdr:row>13</xdr:row>
      <xdr:rowOff>19051</xdr:rowOff>
    </xdr:from>
    <xdr:to>
      <xdr:col>31</xdr:col>
      <xdr:colOff>37060</xdr:colOff>
      <xdr:row>15</xdr:row>
      <xdr:rowOff>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0A308A1-C253-4665-83EE-DDCDCEB0A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9601" y="2276476"/>
          <a:ext cx="74191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152401</xdr:colOff>
      <xdr:row>80</xdr:row>
      <xdr:rowOff>0</xdr:rowOff>
    </xdr:from>
    <xdr:to>
      <xdr:col>31</xdr:col>
      <xdr:colOff>37060</xdr:colOff>
      <xdr:row>81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3C920EE4-9F65-4ECF-8D8C-E8A39ED8D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9601" y="24898351"/>
          <a:ext cx="74191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152401</xdr:colOff>
      <xdr:row>13</xdr:row>
      <xdr:rowOff>19051</xdr:rowOff>
    </xdr:from>
    <xdr:to>
      <xdr:col>31</xdr:col>
      <xdr:colOff>37059</xdr:colOff>
      <xdr:row>15</xdr:row>
      <xdr:rowOff>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4991F5B-050A-4989-BFFD-DF58CC336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9601" y="2276476"/>
          <a:ext cx="741909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152401</xdr:colOff>
      <xdr:row>80</xdr:row>
      <xdr:rowOff>0</xdr:rowOff>
    </xdr:from>
    <xdr:to>
      <xdr:col>31</xdr:col>
      <xdr:colOff>37059</xdr:colOff>
      <xdr:row>81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136E449-D737-4C40-9889-9A9FFBD09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9601" y="24898351"/>
          <a:ext cx="741909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no.corbe/Documents/SCG007/Private%20Tests/21T02%20MONZ/ENGINEERING/21T02%20MONZ%20RaceSheet%20SCG007%20-Chassis%20%23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074/RaceEngineering/_EVENTS/21R02%20Portimao/REPORTS/21R02%20PORT%20RaceSheet%20SCG007%20CAR%23709-v2C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"/>
      <sheetName val="Tires"/>
      <sheetName val="Test Plan"/>
      <sheetName val="Strategie "/>
      <sheetName val="RS FP1"/>
      <sheetName val="RS FP2"/>
      <sheetName val="RS FP3"/>
      <sheetName val="RS FP4"/>
      <sheetName val="Data"/>
    </sheetNames>
    <sheetDataSet>
      <sheetData sheetId="0" refreshError="1">
        <row r="3">
          <cell r="O3" t="str">
            <v>RD</v>
          </cell>
        </row>
        <row r="4">
          <cell r="O4" t="str">
            <v>PD</v>
          </cell>
        </row>
        <row r="5">
          <cell r="O5" t="str">
            <v>RB</v>
          </cell>
        </row>
        <row r="6">
          <cell r="O6"/>
        </row>
        <row r="7">
          <cell r="O7"/>
        </row>
      </sheetData>
      <sheetData sheetId="1" refreshError="1">
        <row r="6">
          <cell r="D6" t="str">
            <v>8001</v>
          </cell>
          <cell r="BL6"/>
        </row>
        <row r="7">
          <cell r="BL7" t="str">
            <v/>
          </cell>
        </row>
        <row r="8">
          <cell r="BL8" t="str">
            <v/>
          </cell>
        </row>
        <row r="9">
          <cell r="BL9" t="str">
            <v/>
          </cell>
        </row>
        <row r="10">
          <cell r="BL10" t="str">
            <v/>
          </cell>
        </row>
        <row r="11">
          <cell r="BL11" t="str">
            <v/>
          </cell>
        </row>
        <row r="12">
          <cell r="BL12" t="str">
            <v/>
          </cell>
        </row>
        <row r="13">
          <cell r="BL13" t="str">
            <v/>
          </cell>
        </row>
        <row r="14">
          <cell r="BL14" t="str">
            <v/>
          </cell>
        </row>
        <row r="15">
          <cell r="BL15" t="str">
            <v/>
          </cell>
        </row>
        <row r="16">
          <cell r="BL16" t="str">
            <v/>
          </cell>
        </row>
        <row r="17">
          <cell r="BL17" t="str">
            <v/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4">
          <cell r="B4" t="str">
            <v>Algarve</v>
          </cell>
          <cell r="C4" t="str">
            <v>Austin</v>
          </cell>
          <cell r="D4" t="str">
            <v>Bahrain</v>
          </cell>
          <cell r="E4" t="str">
            <v>Barcelone</v>
          </cell>
          <cell r="F4" t="str">
            <v>Brno</v>
          </cell>
          <cell r="G4" t="str">
            <v>Bugatti</v>
          </cell>
          <cell r="H4" t="str">
            <v>Buriram</v>
          </cell>
          <cell r="I4" t="str">
            <v>Daytona</v>
          </cell>
          <cell r="J4" t="str">
            <v>Detroit</v>
          </cell>
          <cell r="K4" t="str">
            <v>Donington</v>
          </cell>
          <cell r="L4" t="str">
            <v>Fuji</v>
          </cell>
          <cell r="M4" t="str">
            <v>HTTT S1AV2</v>
          </cell>
          <cell r="N4" t="str">
            <v>Imola</v>
          </cell>
          <cell r="O4" t="str">
            <v>Indianapolis</v>
          </cell>
          <cell r="P4" t="str">
            <v>Inje</v>
          </cell>
          <cell r="Q4" t="str">
            <v>Interlagos</v>
          </cell>
          <cell r="R4" t="str">
            <v>Laguna Seca</v>
          </cell>
          <cell r="S4" t="str">
            <v>Le Mans</v>
          </cell>
          <cell r="T4" t="str">
            <v>Long Beach</v>
          </cell>
          <cell r="U4" t="str">
            <v>Magny Club</v>
          </cell>
          <cell r="V4" t="str">
            <v>Magny-Cours</v>
          </cell>
          <cell r="W4" t="str">
            <v>Maison Blanche</v>
          </cell>
          <cell r="X4" t="str">
            <v>Mexico</v>
          </cell>
          <cell r="Y4" t="str">
            <v>Mid Ohio</v>
          </cell>
          <cell r="Z4" t="str">
            <v>Monza</v>
          </cell>
          <cell r="AA4" t="str">
            <v>Mosport</v>
          </cell>
          <cell r="AB4" t="str">
            <v>Motorland</v>
          </cell>
          <cell r="AC4" t="str">
            <v>Motorland Dunlop</v>
          </cell>
          <cell r="AD4" t="str">
            <v>New Orleans</v>
          </cell>
          <cell r="AE4" t="str">
            <v>Nürburgring</v>
          </cell>
          <cell r="AF4" t="str">
            <v>Palm Beach</v>
          </cell>
          <cell r="AG4" t="str">
            <v>Portimao</v>
          </cell>
          <cell r="AH4" t="str">
            <v>Red Bull Ring</v>
          </cell>
          <cell r="AI4" t="str">
            <v>Road America</v>
          </cell>
          <cell r="AJ4" t="str">
            <v>Road Atlanta</v>
          </cell>
          <cell r="AK4" t="str">
            <v>Sebring</v>
          </cell>
          <cell r="AL4" t="str">
            <v>Sebring North</v>
          </cell>
          <cell r="AM4" t="str">
            <v>Sepang</v>
          </cell>
          <cell r="AN4" t="str">
            <v>Shanghai</v>
          </cell>
          <cell r="AO4" t="str">
            <v>Silverstone</v>
          </cell>
          <cell r="AP4" t="str">
            <v>Snetterton</v>
          </cell>
          <cell r="AQ4" t="str">
            <v>Spa</v>
          </cell>
          <cell r="AR4" t="str">
            <v>Val de Vienne</v>
          </cell>
          <cell r="AS4" t="str">
            <v>Vallelunga</v>
          </cell>
          <cell r="AT4" t="str">
            <v>Watkins Glen</v>
          </cell>
          <cell r="AU4" t="str">
            <v>Zhuhaï</v>
          </cell>
        </row>
        <row r="7">
          <cell r="B7" t="str">
            <v>A</v>
          </cell>
          <cell r="C7" t="str">
            <v>B</v>
          </cell>
          <cell r="D7" t="str">
            <v>C</v>
          </cell>
          <cell r="E7" t="str">
            <v>INTER</v>
          </cell>
          <cell r="F7" t="str">
            <v>WET</v>
          </cell>
          <cell r="G7" t="str">
            <v>FULL WET</v>
          </cell>
          <cell r="H7" t="str">
            <v>SC</v>
          </cell>
          <cell r="I7" t="str">
            <v>SH</v>
          </cell>
          <cell r="J7" t="str">
            <v>SH+</v>
          </cell>
          <cell r="K7" t="str">
            <v>MH+</v>
          </cell>
          <cell r="L7" t="str">
            <v>P2700</v>
          </cell>
          <cell r="M7" t="str">
            <v>W3</v>
          </cell>
        </row>
        <row r="9">
          <cell r="B9" t="str">
            <v>Õ</v>
          </cell>
          <cell r="C9" t="str">
            <v>Ö</v>
          </cell>
          <cell r="D9" t="str">
            <v>Ù</v>
          </cell>
          <cell r="E9" t="str">
            <v>Û</v>
          </cell>
        </row>
        <row r="10">
          <cell r="B10" t="str">
            <v>Dry</v>
          </cell>
          <cell r="C10" t="str">
            <v>Damp</v>
          </cell>
          <cell r="D10" t="str">
            <v>Wet</v>
          </cell>
        </row>
        <row r="11">
          <cell r="B11">
            <v>120.26143790849673</v>
          </cell>
        </row>
        <row r="14">
          <cell r="B14">
            <v>4</v>
          </cell>
        </row>
        <row r="15">
          <cell r="B15" t="str">
            <v>Qualy</v>
          </cell>
          <cell r="C15" t="str">
            <v>Race</v>
          </cell>
        </row>
        <row r="18">
          <cell r="B18">
            <v>2400</v>
          </cell>
        </row>
        <row r="23">
          <cell r="B23">
            <v>0.76500000000000001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"/>
      <sheetName val="Tires"/>
      <sheetName val="Test Plan"/>
      <sheetName val="RS FP1"/>
      <sheetName val="RS FP2"/>
      <sheetName val="RS FP3"/>
      <sheetName val="RS QUAL"/>
      <sheetName val="RS RACE"/>
      <sheetName val="comments"/>
      <sheetName val="Data"/>
    </sheetNames>
    <sheetDataSet>
      <sheetData sheetId="0">
        <row r="3">
          <cell r="O3" t="str">
            <v>RD</v>
          </cell>
          <cell r="R3" t="str">
            <v>Platinium</v>
          </cell>
        </row>
        <row r="4">
          <cell r="O4" t="str">
            <v>RB</v>
          </cell>
          <cell r="R4" t="str">
            <v>Platinium</v>
          </cell>
          <cell r="AS4">
            <v>0</v>
          </cell>
        </row>
        <row r="5">
          <cell r="O5" t="str">
            <v>RW</v>
          </cell>
          <cell r="R5" t="str">
            <v>Platinium</v>
          </cell>
          <cell r="AS5">
            <v>0</v>
          </cell>
        </row>
        <row r="6">
          <cell r="O6"/>
          <cell r="R6" t="str">
            <v xml:space="preserve"> </v>
          </cell>
        </row>
        <row r="7">
          <cell r="O7"/>
          <cell r="AS7">
            <v>0</v>
          </cell>
        </row>
        <row r="8">
          <cell r="AS8">
            <v>0</v>
          </cell>
        </row>
        <row r="12">
          <cell r="K12">
            <v>4.6550000000000002</v>
          </cell>
        </row>
        <row r="15">
          <cell r="I15" t="str">
            <v>FP1</v>
          </cell>
          <cell r="O15" t="str">
            <v>FP1</v>
          </cell>
        </row>
        <row r="16">
          <cell r="I16" t="str">
            <v>FP2</v>
          </cell>
          <cell r="O16" t="str">
            <v>FP2</v>
          </cell>
        </row>
      </sheetData>
      <sheetData sheetId="1">
        <row r="6">
          <cell r="D6" t="str">
            <v>9201</v>
          </cell>
          <cell r="E6"/>
          <cell r="F6"/>
          <cell r="G6" t="str">
            <v>SH</v>
          </cell>
          <cell r="H6"/>
          <cell r="I6"/>
          <cell r="J6"/>
          <cell r="K6"/>
          <cell r="L6" t="str">
            <v>9201FL</v>
          </cell>
          <cell r="M6"/>
          <cell r="N6"/>
          <cell r="O6" t="str">
            <v>9201FR</v>
          </cell>
          <cell r="P6"/>
          <cell r="Q6"/>
          <cell r="R6" t="str">
            <v>9201RL</v>
          </cell>
          <cell r="S6"/>
          <cell r="T6"/>
          <cell r="U6" t="str">
            <v>9201RR</v>
          </cell>
          <cell r="V6"/>
          <cell r="W6"/>
          <cell r="X6" t="str">
            <v/>
          </cell>
          <cell r="Y6"/>
          <cell r="Z6">
            <v>8</v>
          </cell>
          <cell r="AA6"/>
          <cell r="AB6">
            <v>29</v>
          </cell>
          <cell r="AC6"/>
          <cell r="AD6" t="str">
            <v/>
          </cell>
          <cell r="AE6"/>
          <cell r="AF6" t="str">
            <v/>
          </cell>
          <cell r="AG6"/>
          <cell r="AH6"/>
          <cell r="AI6"/>
          <cell r="AJ6"/>
          <cell r="AK6"/>
          <cell r="AL6"/>
          <cell r="AM6"/>
          <cell r="AN6"/>
          <cell r="AO6"/>
          <cell r="AP6"/>
          <cell r="AQ6"/>
          <cell r="AR6"/>
          <cell r="AS6"/>
          <cell r="AT6"/>
          <cell r="AU6"/>
          <cell r="AV6"/>
          <cell r="AW6"/>
          <cell r="AX6"/>
          <cell r="AY6"/>
          <cell r="AZ6"/>
          <cell r="BA6"/>
          <cell r="BB6"/>
          <cell r="BC6"/>
          <cell r="BD6"/>
          <cell r="BE6">
            <v>37</v>
          </cell>
          <cell r="BF6"/>
          <cell r="BG6"/>
          <cell r="BH6">
            <v>172.23500000000001</v>
          </cell>
          <cell r="BI6"/>
          <cell r="BJ6"/>
          <cell r="BL6" t="str">
            <v>9305</v>
          </cell>
          <cell r="BM6"/>
          <cell r="BN6"/>
          <cell r="BO6" t="str">
            <v>MH</v>
          </cell>
          <cell r="BP6"/>
          <cell r="BQ6"/>
          <cell r="BR6"/>
          <cell r="BS6"/>
          <cell r="BT6"/>
          <cell r="BU6"/>
          <cell r="BV6"/>
          <cell r="BW6"/>
          <cell r="BX6"/>
          <cell r="BY6"/>
          <cell r="BZ6"/>
          <cell r="CB6">
            <v>0</v>
          </cell>
          <cell r="CC6">
            <v>37.24</v>
          </cell>
          <cell r="CD6">
            <v>172.23500000000001</v>
          </cell>
          <cell r="CE6">
            <v>172.23500000000001</v>
          </cell>
          <cell r="CF6">
            <v>172.23500000000001</v>
          </cell>
          <cell r="CG6">
            <v>172.23500000000001</v>
          </cell>
          <cell r="CH6">
            <v>172.23500000000001</v>
          </cell>
        </row>
        <row r="7"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 t="str">
            <v/>
          </cell>
          <cell r="Y7"/>
          <cell r="Z7">
            <v>37.24</v>
          </cell>
          <cell r="AA7"/>
          <cell r="AB7">
            <v>134.995</v>
          </cell>
          <cell r="AC7"/>
          <cell r="AD7" t="str">
            <v/>
          </cell>
          <cell r="AE7"/>
          <cell r="AF7" t="str">
            <v/>
          </cell>
          <cell r="AG7"/>
          <cell r="AH7" t="str">
            <v/>
          </cell>
          <cell r="AI7"/>
          <cell r="AJ7" t="str">
            <v/>
          </cell>
          <cell r="AK7"/>
          <cell r="AL7" t="str">
            <v/>
          </cell>
          <cell r="AM7"/>
          <cell r="AN7" t="str">
            <v/>
          </cell>
          <cell r="AO7"/>
          <cell r="AP7" t="str">
            <v/>
          </cell>
          <cell r="AQ7"/>
          <cell r="AR7" t="str">
            <v/>
          </cell>
          <cell r="AS7"/>
          <cell r="AT7" t="str">
            <v/>
          </cell>
          <cell r="AU7"/>
          <cell r="AV7" t="str">
            <v/>
          </cell>
          <cell r="AW7"/>
          <cell r="AX7" t="str">
            <v/>
          </cell>
          <cell r="AY7"/>
          <cell r="AZ7" t="str">
            <v/>
          </cell>
          <cell r="BA7"/>
          <cell r="BB7"/>
          <cell r="BC7"/>
          <cell r="BD7"/>
          <cell r="BE7"/>
          <cell r="BF7"/>
          <cell r="BG7"/>
          <cell r="BH7"/>
          <cell r="BI7"/>
          <cell r="BJ7"/>
          <cell r="BL7" t="str">
            <v>9306</v>
          </cell>
          <cell r="BM7"/>
          <cell r="BN7"/>
          <cell r="BO7" t="str">
            <v>MH</v>
          </cell>
          <cell r="BP7"/>
          <cell r="BQ7"/>
          <cell r="BR7"/>
          <cell r="BS7"/>
          <cell r="BT7"/>
          <cell r="BU7"/>
          <cell r="BV7"/>
          <cell r="BW7"/>
          <cell r="BX7"/>
          <cell r="CB7"/>
          <cell r="CC7"/>
          <cell r="CD7"/>
          <cell r="CE7"/>
          <cell r="CF7"/>
          <cell r="CG7"/>
          <cell r="CH7"/>
        </row>
        <row r="8">
          <cell r="D8" t="str">
            <v>9202</v>
          </cell>
          <cell r="E8"/>
          <cell r="F8"/>
          <cell r="G8" t="str">
            <v>SH</v>
          </cell>
          <cell r="H8"/>
          <cell r="I8"/>
          <cell r="J8"/>
          <cell r="K8"/>
          <cell r="L8" t="str">
            <v>9202FL</v>
          </cell>
          <cell r="M8"/>
          <cell r="N8"/>
          <cell r="O8" t="str">
            <v>9202FR</v>
          </cell>
          <cell r="P8"/>
          <cell r="Q8"/>
          <cell r="R8" t="str">
            <v>9202RL</v>
          </cell>
          <cell r="S8"/>
          <cell r="T8"/>
          <cell r="U8" t="str">
            <v>9202RR</v>
          </cell>
          <cell r="V8"/>
          <cell r="W8"/>
          <cell r="X8" t="str">
            <v/>
          </cell>
          <cell r="Y8"/>
          <cell r="Z8" t="str">
            <v/>
          </cell>
          <cell r="AA8"/>
          <cell r="AB8" t="str">
            <v/>
          </cell>
          <cell r="AC8"/>
          <cell r="AD8" t="str">
            <v/>
          </cell>
          <cell r="AE8"/>
          <cell r="AF8" t="str">
            <v/>
          </cell>
          <cell r="AG8"/>
          <cell r="AH8"/>
          <cell r="AI8"/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  <cell r="BE8">
            <v>0</v>
          </cell>
          <cell r="BF8"/>
          <cell r="BG8"/>
          <cell r="BH8">
            <v>0</v>
          </cell>
          <cell r="BI8"/>
          <cell r="BJ8"/>
          <cell r="BL8" t="str">
            <v>9307</v>
          </cell>
          <cell r="BM8"/>
          <cell r="BN8"/>
          <cell r="BO8" t="str">
            <v>MH</v>
          </cell>
          <cell r="BP8"/>
          <cell r="BQ8"/>
          <cell r="BR8"/>
          <cell r="BS8"/>
          <cell r="BT8"/>
          <cell r="BU8"/>
          <cell r="BV8"/>
          <cell r="BW8"/>
          <cell r="BX8"/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</row>
        <row r="9"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 t="str">
            <v/>
          </cell>
          <cell r="Y9"/>
          <cell r="Z9" t="str">
            <v/>
          </cell>
          <cell r="AA9"/>
          <cell r="AB9" t="str">
            <v/>
          </cell>
          <cell r="AC9"/>
          <cell r="AD9" t="str">
            <v/>
          </cell>
          <cell r="AE9"/>
          <cell r="AF9" t="str">
            <v/>
          </cell>
          <cell r="AG9"/>
          <cell r="AH9" t="str">
            <v/>
          </cell>
          <cell r="AI9"/>
          <cell r="AJ9" t="str">
            <v/>
          </cell>
          <cell r="AK9"/>
          <cell r="AL9" t="str">
            <v/>
          </cell>
          <cell r="AM9"/>
          <cell r="AN9" t="str">
            <v/>
          </cell>
          <cell r="AO9"/>
          <cell r="AP9" t="str">
            <v/>
          </cell>
          <cell r="AQ9"/>
          <cell r="AR9" t="str">
            <v/>
          </cell>
          <cell r="AS9"/>
          <cell r="AT9" t="str">
            <v/>
          </cell>
          <cell r="AU9"/>
          <cell r="AV9" t="str">
            <v/>
          </cell>
          <cell r="AW9"/>
          <cell r="AX9" t="str">
            <v/>
          </cell>
          <cell r="AY9"/>
          <cell r="AZ9" t="str">
            <v/>
          </cell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L9" t="str">
            <v>9401</v>
          </cell>
          <cell r="BM9"/>
          <cell r="BN9"/>
          <cell r="BO9" t="str">
            <v>SH/MH</v>
          </cell>
          <cell r="BP9"/>
          <cell r="BQ9"/>
          <cell r="BR9"/>
          <cell r="BS9"/>
          <cell r="BT9"/>
          <cell r="BU9"/>
          <cell r="BV9"/>
          <cell r="BW9"/>
          <cell r="BX9"/>
        </row>
        <row r="10">
          <cell r="D10" t="str">
            <v>9203</v>
          </cell>
          <cell r="E10"/>
          <cell r="F10"/>
          <cell r="G10" t="str">
            <v>SH</v>
          </cell>
          <cell r="H10"/>
          <cell r="I10"/>
          <cell r="J10"/>
          <cell r="K10"/>
          <cell r="L10" t="str">
            <v>9203FL</v>
          </cell>
          <cell r="M10"/>
          <cell r="N10"/>
          <cell r="O10" t="str">
            <v>9203FR</v>
          </cell>
          <cell r="P10"/>
          <cell r="Q10"/>
          <cell r="R10" t="str">
            <v>9203RL</v>
          </cell>
          <cell r="S10"/>
          <cell r="T10"/>
          <cell r="U10" t="str">
            <v>9203RR</v>
          </cell>
          <cell r="V10"/>
          <cell r="W10"/>
          <cell r="X10" t="str">
            <v/>
          </cell>
          <cell r="Y10"/>
          <cell r="Z10" t="str">
            <v/>
          </cell>
          <cell r="AA10"/>
          <cell r="AB10" t="str">
            <v/>
          </cell>
          <cell r="AC10"/>
          <cell r="AD10" t="str">
            <v/>
          </cell>
          <cell r="AE10"/>
          <cell r="AF10" t="str">
            <v/>
          </cell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>
            <v>0</v>
          </cell>
          <cell r="BF10"/>
          <cell r="BG10"/>
          <cell r="BH10">
            <v>0</v>
          </cell>
          <cell r="BI10"/>
          <cell r="BJ10"/>
          <cell r="BL10" t="str">
            <v>9402</v>
          </cell>
          <cell r="BM10"/>
          <cell r="BN10"/>
          <cell r="BO10" t="str">
            <v>SH/MH</v>
          </cell>
          <cell r="BP10"/>
          <cell r="BQ10"/>
          <cell r="BR10"/>
          <cell r="BS10"/>
          <cell r="BT10"/>
          <cell r="BU10"/>
          <cell r="BV10"/>
          <cell r="BW10"/>
          <cell r="BX10"/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</row>
        <row r="11"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 t="str">
            <v/>
          </cell>
          <cell r="Y11"/>
          <cell r="Z11" t="str">
            <v/>
          </cell>
          <cell r="AA11"/>
          <cell r="AB11" t="str">
            <v/>
          </cell>
          <cell r="AC11"/>
          <cell r="AD11" t="str">
            <v/>
          </cell>
          <cell r="AE11"/>
          <cell r="AF11" t="str">
            <v/>
          </cell>
          <cell r="AG11"/>
          <cell r="AH11" t="str">
            <v/>
          </cell>
          <cell r="AI11"/>
          <cell r="AJ11" t="str">
            <v/>
          </cell>
          <cell r="AK11"/>
          <cell r="AL11" t="str">
            <v/>
          </cell>
          <cell r="AM11"/>
          <cell r="AN11" t="str">
            <v/>
          </cell>
          <cell r="AO11"/>
          <cell r="AP11" t="str">
            <v/>
          </cell>
          <cell r="AQ11"/>
          <cell r="AR11" t="str">
            <v/>
          </cell>
          <cell r="AS11"/>
          <cell r="AT11" t="str">
            <v/>
          </cell>
          <cell r="AU11"/>
          <cell r="AV11" t="str">
            <v/>
          </cell>
          <cell r="AW11"/>
          <cell r="AX11" t="str">
            <v/>
          </cell>
          <cell r="AY11"/>
          <cell r="AZ11" t="str">
            <v/>
          </cell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L11" t="str">
            <v>9403</v>
          </cell>
          <cell r="BM11"/>
          <cell r="BN11"/>
          <cell r="BO11" t="str">
            <v>SH/MH</v>
          </cell>
          <cell r="BP11"/>
          <cell r="BQ11"/>
          <cell r="BR11"/>
          <cell r="BS11"/>
          <cell r="BT11"/>
          <cell r="BU11"/>
          <cell r="BV11"/>
          <cell r="BW11"/>
          <cell r="BX11"/>
        </row>
        <row r="12">
          <cell r="D12" t="str">
            <v>9204</v>
          </cell>
          <cell r="E12"/>
          <cell r="F12"/>
          <cell r="G12" t="str">
            <v>SH</v>
          </cell>
          <cell r="H12"/>
          <cell r="I12"/>
          <cell r="J12"/>
          <cell r="K12"/>
          <cell r="L12" t="str">
            <v>9204FL</v>
          </cell>
          <cell r="M12"/>
          <cell r="N12"/>
          <cell r="O12" t="str">
            <v>9204FR</v>
          </cell>
          <cell r="P12"/>
          <cell r="Q12"/>
          <cell r="R12" t="str">
            <v>9204RL</v>
          </cell>
          <cell r="S12"/>
          <cell r="T12"/>
          <cell r="U12" t="str">
            <v>9204RR</v>
          </cell>
          <cell r="V12"/>
          <cell r="W12"/>
          <cell r="X12" t="str">
            <v/>
          </cell>
          <cell r="Y12"/>
          <cell r="Z12" t="str">
            <v/>
          </cell>
          <cell r="AA12"/>
          <cell r="AB12" t="str">
            <v/>
          </cell>
          <cell r="AC12"/>
          <cell r="AD12" t="str">
            <v/>
          </cell>
          <cell r="AE12"/>
          <cell r="AF12" t="str">
            <v/>
          </cell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>
            <v>0</v>
          </cell>
          <cell r="BF12"/>
          <cell r="BG12"/>
          <cell r="BH12">
            <v>0</v>
          </cell>
          <cell r="BI12"/>
          <cell r="BJ12"/>
          <cell r="BL12" t="str">
            <v>9404</v>
          </cell>
          <cell r="BM12"/>
          <cell r="BN12"/>
          <cell r="BO12" t="str">
            <v>SH/MH</v>
          </cell>
          <cell r="BP12"/>
          <cell r="BQ12"/>
          <cell r="BR12"/>
          <cell r="BS12"/>
          <cell r="BT12"/>
          <cell r="BU12"/>
          <cell r="BV12"/>
          <cell r="BW12"/>
          <cell r="BX12"/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</row>
        <row r="13"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 t="str">
            <v/>
          </cell>
          <cell r="Y13"/>
          <cell r="Z13" t="str">
            <v/>
          </cell>
          <cell r="AA13"/>
          <cell r="AB13" t="str">
            <v/>
          </cell>
          <cell r="AC13"/>
          <cell r="AD13" t="str">
            <v/>
          </cell>
          <cell r="AE13"/>
          <cell r="AF13" t="str">
            <v/>
          </cell>
          <cell r="AG13"/>
          <cell r="AH13" t="str">
            <v/>
          </cell>
          <cell r="AI13"/>
          <cell r="AJ13" t="str">
            <v/>
          </cell>
          <cell r="AK13"/>
          <cell r="AL13" t="str">
            <v/>
          </cell>
          <cell r="AM13"/>
          <cell r="AN13" t="str">
            <v/>
          </cell>
          <cell r="AO13"/>
          <cell r="AP13" t="str">
            <v/>
          </cell>
          <cell r="AQ13"/>
          <cell r="AR13" t="str">
            <v/>
          </cell>
          <cell r="AS13"/>
          <cell r="AT13" t="str">
            <v/>
          </cell>
          <cell r="AU13"/>
          <cell r="AV13" t="str">
            <v/>
          </cell>
          <cell r="AW13"/>
          <cell r="AX13" t="str">
            <v/>
          </cell>
          <cell r="AY13"/>
          <cell r="AZ13" t="str">
            <v/>
          </cell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L13" t="str">
            <v>9405</v>
          </cell>
          <cell r="BM13"/>
          <cell r="BN13"/>
          <cell r="BO13" t="str">
            <v>SH/MH</v>
          </cell>
          <cell r="BP13"/>
          <cell r="BQ13"/>
          <cell r="BR13"/>
          <cell r="BS13"/>
          <cell r="BT13"/>
          <cell r="BU13"/>
          <cell r="BV13"/>
          <cell r="BW13"/>
          <cell r="BX13"/>
        </row>
        <row r="14">
          <cell r="D14" t="str">
            <v>9205</v>
          </cell>
          <cell r="E14"/>
          <cell r="F14"/>
          <cell r="G14" t="str">
            <v>SH</v>
          </cell>
          <cell r="H14"/>
          <cell r="I14"/>
          <cell r="J14"/>
          <cell r="K14"/>
          <cell r="L14" t="str">
            <v>9205FL</v>
          </cell>
          <cell r="M14"/>
          <cell r="N14"/>
          <cell r="O14" t="str">
            <v>9205FR</v>
          </cell>
          <cell r="P14"/>
          <cell r="Q14"/>
          <cell r="R14" t="str">
            <v>9205RL</v>
          </cell>
          <cell r="S14"/>
          <cell r="T14"/>
          <cell r="U14" t="str">
            <v>9205RR</v>
          </cell>
          <cell r="V14"/>
          <cell r="W14"/>
          <cell r="X14" t="str">
            <v/>
          </cell>
          <cell r="Y14"/>
          <cell r="Z14" t="str">
            <v/>
          </cell>
          <cell r="AA14"/>
          <cell r="AB14" t="str">
            <v/>
          </cell>
          <cell r="AC14"/>
          <cell r="AD14" t="str">
            <v/>
          </cell>
          <cell r="AE14"/>
          <cell r="AF14" t="str">
            <v/>
          </cell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>
            <v>0</v>
          </cell>
          <cell r="BF14"/>
          <cell r="BG14"/>
          <cell r="BH14">
            <v>0</v>
          </cell>
          <cell r="BI14"/>
          <cell r="BJ14"/>
          <cell r="BL14" t="str">
            <v>9406</v>
          </cell>
          <cell r="BM14"/>
          <cell r="BN14"/>
          <cell r="BO14" t="str">
            <v>SH/MH</v>
          </cell>
          <cell r="BP14"/>
          <cell r="BQ14"/>
          <cell r="BR14"/>
          <cell r="BS14"/>
          <cell r="BT14"/>
          <cell r="BU14"/>
          <cell r="BV14"/>
          <cell r="BW14"/>
          <cell r="BX14"/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</row>
        <row r="15"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 t="str">
            <v/>
          </cell>
          <cell r="Y15"/>
          <cell r="Z15" t="str">
            <v/>
          </cell>
          <cell r="AA15"/>
          <cell r="AB15" t="str">
            <v/>
          </cell>
          <cell r="AC15"/>
          <cell r="AD15" t="str">
            <v/>
          </cell>
          <cell r="AE15"/>
          <cell r="AF15" t="str">
            <v/>
          </cell>
          <cell r="AG15"/>
          <cell r="AH15" t="str">
            <v/>
          </cell>
          <cell r="AI15"/>
          <cell r="AJ15" t="str">
            <v/>
          </cell>
          <cell r="AK15"/>
          <cell r="AL15" t="str">
            <v/>
          </cell>
          <cell r="AM15"/>
          <cell r="AN15" t="str">
            <v/>
          </cell>
          <cell r="AO15"/>
          <cell r="AP15" t="str">
            <v/>
          </cell>
          <cell r="AQ15"/>
          <cell r="AR15" t="str">
            <v/>
          </cell>
          <cell r="AS15"/>
          <cell r="AT15" t="str">
            <v/>
          </cell>
          <cell r="AU15"/>
          <cell r="AV15" t="str">
            <v/>
          </cell>
          <cell r="AW15"/>
          <cell r="AX15" t="str">
            <v/>
          </cell>
          <cell r="AY15"/>
          <cell r="AZ15" t="str">
            <v/>
          </cell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L15" t="str">
            <v>9407</v>
          </cell>
          <cell r="BM15"/>
          <cell r="BN15"/>
          <cell r="BO15" t="str">
            <v>SH/MH</v>
          </cell>
          <cell r="BP15"/>
          <cell r="BQ15"/>
          <cell r="BR15"/>
          <cell r="BS15"/>
          <cell r="BT15"/>
          <cell r="BU15"/>
          <cell r="BV15"/>
          <cell r="BW15"/>
          <cell r="BX15"/>
        </row>
        <row r="16">
          <cell r="D16" t="str">
            <v>9206</v>
          </cell>
          <cell r="E16"/>
          <cell r="F16"/>
          <cell r="G16" t="str">
            <v>SH</v>
          </cell>
          <cell r="H16"/>
          <cell r="I16"/>
          <cell r="J16"/>
          <cell r="K16"/>
          <cell r="L16" t="str">
            <v>9206FL</v>
          </cell>
          <cell r="M16"/>
          <cell r="N16"/>
          <cell r="O16" t="str">
            <v>9206FR</v>
          </cell>
          <cell r="P16"/>
          <cell r="Q16"/>
          <cell r="R16" t="str">
            <v>9206RL</v>
          </cell>
          <cell r="S16"/>
          <cell r="T16"/>
          <cell r="U16" t="str">
            <v>9206RR</v>
          </cell>
          <cell r="V16"/>
          <cell r="W16"/>
          <cell r="X16" t="str">
            <v/>
          </cell>
          <cell r="Y16"/>
          <cell r="Z16" t="str">
            <v/>
          </cell>
          <cell r="AA16"/>
          <cell r="AB16" t="str">
            <v/>
          </cell>
          <cell r="AC16"/>
          <cell r="AD16" t="str">
            <v/>
          </cell>
          <cell r="AE16"/>
          <cell r="AF16" t="str">
            <v/>
          </cell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>
            <v>0</v>
          </cell>
          <cell r="BF16"/>
          <cell r="BG16"/>
          <cell r="BH16">
            <v>0</v>
          </cell>
          <cell r="BI16"/>
          <cell r="BJ16"/>
          <cell r="BL16" t="str">
            <v>9408</v>
          </cell>
          <cell r="BM16"/>
          <cell r="BN16"/>
          <cell r="BO16" t="str">
            <v>SH/MH</v>
          </cell>
          <cell r="BP16"/>
          <cell r="BQ16"/>
          <cell r="BR16"/>
          <cell r="BS16"/>
          <cell r="BT16"/>
          <cell r="BU16"/>
          <cell r="BV16"/>
          <cell r="BW16"/>
          <cell r="BX16"/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</row>
        <row r="17"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 t="str">
            <v/>
          </cell>
          <cell r="Y17"/>
          <cell r="Z17" t="str">
            <v/>
          </cell>
          <cell r="AA17"/>
          <cell r="AB17" t="str">
            <v/>
          </cell>
          <cell r="AC17"/>
          <cell r="AD17" t="str">
            <v/>
          </cell>
          <cell r="AE17"/>
          <cell r="AF17" t="str">
            <v/>
          </cell>
          <cell r="AG17"/>
          <cell r="AH17" t="str">
            <v/>
          </cell>
          <cell r="AI17"/>
          <cell r="AJ17" t="str">
            <v/>
          </cell>
          <cell r="AK17"/>
          <cell r="AL17" t="str">
            <v/>
          </cell>
          <cell r="AM17"/>
          <cell r="AN17" t="str">
            <v/>
          </cell>
          <cell r="AO17"/>
          <cell r="AP17" t="str">
            <v/>
          </cell>
          <cell r="AQ17"/>
          <cell r="AR17" t="str">
            <v/>
          </cell>
          <cell r="AS17"/>
          <cell r="AT17" t="str">
            <v/>
          </cell>
          <cell r="AU17"/>
          <cell r="AV17" t="str">
            <v/>
          </cell>
          <cell r="AW17"/>
          <cell r="AX17" t="str">
            <v/>
          </cell>
          <cell r="AY17"/>
          <cell r="AZ17" t="str">
            <v/>
          </cell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L17" t="str">
            <v>9409</v>
          </cell>
          <cell r="BM17"/>
          <cell r="BN17"/>
          <cell r="BO17" t="str">
            <v>SH/MH</v>
          </cell>
          <cell r="BP17"/>
          <cell r="BQ17"/>
          <cell r="BR17"/>
          <cell r="BS17"/>
          <cell r="BT17"/>
          <cell r="BU17"/>
          <cell r="BV17"/>
          <cell r="BW17"/>
          <cell r="BX17"/>
        </row>
        <row r="18">
          <cell r="D18" t="str">
            <v>9301</v>
          </cell>
          <cell r="E18"/>
          <cell r="F18"/>
          <cell r="G18" t="str">
            <v>MH</v>
          </cell>
          <cell r="H18"/>
          <cell r="I18"/>
          <cell r="J18"/>
          <cell r="K18"/>
          <cell r="L18" t="str">
            <v>9301FL</v>
          </cell>
          <cell r="M18"/>
          <cell r="N18"/>
          <cell r="O18" t="str">
            <v>9301FR</v>
          </cell>
          <cell r="P18"/>
          <cell r="Q18"/>
          <cell r="R18" t="str">
            <v>9301RL</v>
          </cell>
          <cell r="S18"/>
          <cell r="T18"/>
          <cell r="U18" t="str">
            <v>9301RR</v>
          </cell>
          <cell r="V18"/>
          <cell r="W18"/>
          <cell r="X18">
            <v>30</v>
          </cell>
          <cell r="Y18"/>
          <cell r="Z18">
            <v>12</v>
          </cell>
          <cell r="AA18"/>
          <cell r="AB18" t="str">
            <v/>
          </cell>
          <cell r="AC18"/>
          <cell r="AD18" t="str">
            <v/>
          </cell>
          <cell r="AE18"/>
          <cell r="AF18" t="str">
            <v/>
          </cell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>
            <v>42</v>
          </cell>
          <cell r="BF18"/>
          <cell r="BG18"/>
          <cell r="BH18">
            <v>195.51</v>
          </cell>
          <cell r="BI18"/>
          <cell r="BJ18"/>
          <cell r="BL18"/>
          <cell r="BM18"/>
          <cell r="BN18"/>
          <cell r="BO18"/>
          <cell r="BP18"/>
          <cell r="BQ18"/>
          <cell r="BR18"/>
          <cell r="BS18"/>
          <cell r="CB18">
            <v>139.65</v>
          </cell>
          <cell r="CC18">
            <v>195.51</v>
          </cell>
          <cell r="CD18">
            <v>195.51</v>
          </cell>
          <cell r="CE18">
            <v>195.51</v>
          </cell>
          <cell r="CF18">
            <v>195.51</v>
          </cell>
          <cell r="CG18">
            <v>195.51</v>
          </cell>
          <cell r="CH18">
            <v>195.51</v>
          </cell>
        </row>
        <row r="19"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>
            <v>139.65</v>
          </cell>
          <cell r="Y19"/>
          <cell r="Z19">
            <v>55.86</v>
          </cell>
          <cell r="AA19"/>
          <cell r="AB19" t="str">
            <v/>
          </cell>
          <cell r="AC19"/>
          <cell r="AD19" t="str">
            <v/>
          </cell>
          <cell r="AE19"/>
          <cell r="AF19" t="str">
            <v/>
          </cell>
          <cell r="AG19"/>
          <cell r="AH19" t="str">
            <v/>
          </cell>
          <cell r="AI19"/>
          <cell r="AJ19" t="str">
            <v/>
          </cell>
          <cell r="AK19"/>
          <cell r="AL19" t="str">
            <v/>
          </cell>
          <cell r="AM19"/>
          <cell r="AN19" t="str">
            <v/>
          </cell>
          <cell r="AO19"/>
          <cell r="AP19" t="str">
            <v/>
          </cell>
          <cell r="AQ19"/>
          <cell r="AR19" t="str">
            <v/>
          </cell>
          <cell r="AS19"/>
          <cell r="AT19" t="str">
            <v/>
          </cell>
          <cell r="AU19"/>
          <cell r="AV19" t="str">
            <v/>
          </cell>
          <cell r="AW19"/>
          <cell r="AX19" t="str">
            <v/>
          </cell>
          <cell r="AY19"/>
          <cell r="AZ19" t="str">
            <v/>
          </cell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L19" t="str">
            <v>Rims</v>
          </cell>
          <cell r="BM19"/>
          <cell r="BN19"/>
          <cell r="BO19" t="str">
            <v>FL</v>
          </cell>
          <cell r="BP19"/>
          <cell r="BQ19"/>
          <cell r="BR19" t="str">
            <v>FR</v>
          </cell>
          <cell r="BS19"/>
          <cell r="BT19"/>
          <cell r="BU19" t="str">
            <v>RL</v>
          </cell>
          <cell r="BV19"/>
          <cell r="BW19"/>
          <cell r="BX19" t="str">
            <v>RR</v>
          </cell>
          <cell r="BY19"/>
          <cell r="BZ19"/>
        </row>
        <row r="20">
          <cell r="D20" t="str">
            <v>9302</v>
          </cell>
          <cell r="E20"/>
          <cell r="F20"/>
          <cell r="G20" t="str">
            <v>MH</v>
          </cell>
          <cell r="H20"/>
          <cell r="I20"/>
          <cell r="J20"/>
          <cell r="K20"/>
          <cell r="L20" t="str">
            <v>9302FL</v>
          </cell>
          <cell r="M20"/>
          <cell r="N20"/>
          <cell r="O20" t="str">
            <v>9302FR</v>
          </cell>
          <cell r="P20"/>
          <cell r="Q20"/>
          <cell r="R20" t="str">
            <v>9302RL</v>
          </cell>
          <cell r="S20"/>
          <cell r="T20"/>
          <cell r="U20" t="str">
            <v>9302RR</v>
          </cell>
          <cell r="V20"/>
          <cell r="W20"/>
          <cell r="X20" t="str">
            <v/>
          </cell>
          <cell r="Y20"/>
          <cell r="Z20" t="str">
            <v/>
          </cell>
          <cell r="AA20"/>
          <cell r="AB20" t="str">
            <v/>
          </cell>
          <cell r="AC20"/>
          <cell r="AD20" t="str">
            <v/>
          </cell>
          <cell r="AE20"/>
          <cell r="AF20" t="str">
            <v/>
          </cell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>
            <v>0</v>
          </cell>
          <cell r="BF20"/>
          <cell r="BG20"/>
          <cell r="BH20">
            <v>0</v>
          </cell>
          <cell r="BI20"/>
          <cell r="BJ20"/>
          <cell r="BL20">
            <v>1</v>
          </cell>
          <cell r="BM20"/>
          <cell r="BN20"/>
          <cell r="BO20" t="str">
            <v/>
          </cell>
          <cell r="BP20"/>
          <cell r="BQ20"/>
          <cell r="BR20" t="str">
            <v/>
          </cell>
          <cell r="BS20"/>
          <cell r="BT20"/>
          <cell r="BU20" t="str">
            <v/>
          </cell>
          <cell r="BV20"/>
          <cell r="BW20"/>
          <cell r="BX20" t="str">
            <v/>
          </cell>
          <cell r="BY20"/>
          <cell r="BZ20"/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</row>
        <row r="21"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 t="str">
            <v/>
          </cell>
          <cell r="Y21"/>
          <cell r="Z21" t="str">
            <v/>
          </cell>
          <cell r="AA21"/>
          <cell r="AB21" t="str">
            <v/>
          </cell>
          <cell r="AC21"/>
          <cell r="AD21" t="str">
            <v/>
          </cell>
          <cell r="AE21"/>
          <cell r="AF21" t="str">
            <v/>
          </cell>
          <cell r="AG21"/>
          <cell r="AH21" t="str">
            <v/>
          </cell>
          <cell r="AI21"/>
          <cell r="AJ21" t="str">
            <v/>
          </cell>
          <cell r="AK21"/>
          <cell r="AL21" t="str">
            <v/>
          </cell>
          <cell r="AM21"/>
          <cell r="AN21" t="str">
            <v/>
          </cell>
          <cell r="AO21"/>
          <cell r="AP21" t="str">
            <v/>
          </cell>
          <cell r="AQ21"/>
          <cell r="AR21" t="str">
            <v/>
          </cell>
          <cell r="AS21"/>
          <cell r="AT21" t="str">
            <v/>
          </cell>
          <cell r="AU21"/>
          <cell r="AV21" t="str">
            <v/>
          </cell>
          <cell r="AW21"/>
          <cell r="AX21" t="str">
            <v/>
          </cell>
          <cell r="AY21"/>
          <cell r="AZ21" t="str">
            <v/>
          </cell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L21">
            <v>2</v>
          </cell>
          <cell r="BM21"/>
          <cell r="BN21"/>
          <cell r="BO21" t="str">
            <v/>
          </cell>
          <cell r="BP21"/>
          <cell r="BQ21"/>
          <cell r="BR21" t="str">
            <v/>
          </cell>
          <cell r="BS21"/>
          <cell r="BT21"/>
          <cell r="BU21" t="str">
            <v/>
          </cell>
          <cell r="BV21"/>
          <cell r="BW21"/>
          <cell r="BX21" t="str">
            <v/>
          </cell>
          <cell r="BY21"/>
          <cell r="BZ21"/>
        </row>
        <row r="22">
          <cell r="D22" t="str">
            <v>9303</v>
          </cell>
          <cell r="E22"/>
          <cell r="F22"/>
          <cell r="G22" t="str">
            <v>MH</v>
          </cell>
          <cell r="H22"/>
          <cell r="I22"/>
          <cell r="J22"/>
          <cell r="K22"/>
          <cell r="L22" t="str">
            <v>9303FL</v>
          </cell>
          <cell r="M22"/>
          <cell r="N22"/>
          <cell r="O22" t="str">
            <v>9303FR</v>
          </cell>
          <cell r="P22"/>
          <cell r="Q22"/>
          <cell r="R22" t="str">
            <v>9303RL</v>
          </cell>
          <cell r="S22"/>
          <cell r="T22"/>
          <cell r="U22" t="str">
            <v>9303RR</v>
          </cell>
          <cell r="V22"/>
          <cell r="W22"/>
          <cell r="X22" t="str">
            <v/>
          </cell>
          <cell r="Y22"/>
          <cell r="Z22" t="str">
            <v/>
          </cell>
          <cell r="AA22"/>
          <cell r="AB22" t="str">
            <v/>
          </cell>
          <cell r="AC22"/>
          <cell r="AD22" t="str">
            <v/>
          </cell>
          <cell r="AE22"/>
          <cell r="AF22" t="str">
            <v/>
          </cell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>
            <v>0</v>
          </cell>
          <cell r="BF22"/>
          <cell r="BG22"/>
          <cell r="BH22">
            <v>0</v>
          </cell>
          <cell r="BI22"/>
          <cell r="BJ22"/>
          <cell r="BL22">
            <v>3</v>
          </cell>
          <cell r="BM22"/>
          <cell r="BN22"/>
          <cell r="BO22" t="str">
            <v/>
          </cell>
          <cell r="BP22"/>
          <cell r="BQ22"/>
          <cell r="BR22" t="str">
            <v/>
          </cell>
          <cell r="BS22"/>
          <cell r="BT22"/>
          <cell r="BU22" t="str">
            <v/>
          </cell>
          <cell r="BV22"/>
          <cell r="BW22"/>
          <cell r="BX22" t="str">
            <v/>
          </cell>
          <cell r="BY22"/>
          <cell r="BZ22"/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</row>
        <row r="23"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 t="str">
            <v/>
          </cell>
          <cell r="Y23"/>
          <cell r="Z23" t="str">
            <v/>
          </cell>
          <cell r="AA23"/>
          <cell r="AB23" t="str">
            <v/>
          </cell>
          <cell r="AC23"/>
          <cell r="AD23" t="str">
            <v/>
          </cell>
          <cell r="AE23"/>
          <cell r="AF23" t="str">
            <v/>
          </cell>
          <cell r="AG23"/>
          <cell r="AH23" t="str">
            <v/>
          </cell>
          <cell r="AI23"/>
          <cell r="AJ23" t="str">
            <v/>
          </cell>
          <cell r="AK23"/>
          <cell r="AL23" t="str">
            <v/>
          </cell>
          <cell r="AM23"/>
          <cell r="AN23" t="str">
            <v/>
          </cell>
          <cell r="AO23"/>
          <cell r="AP23" t="str">
            <v/>
          </cell>
          <cell r="AQ23"/>
          <cell r="AR23" t="str">
            <v/>
          </cell>
          <cell r="AS23"/>
          <cell r="AT23" t="str">
            <v/>
          </cell>
          <cell r="AU23"/>
          <cell r="AV23" t="str">
            <v/>
          </cell>
          <cell r="AW23"/>
          <cell r="AX23" t="str">
            <v/>
          </cell>
          <cell r="AY23"/>
          <cell r="AZ23" t="str">
            <v/>
          </cell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L23">
            <v>4</v>
          </cell>
          <cell r="BM23"/>
          <cell r="BN23"/>
          <cell r="BO23" t="str">
            <v/>
          </cell>
          <cell r="BP23"/>
          <cell r="BQ23"/>
          <cell r="BR23" t="str">
            <v/>
          </cell>
          <cell r="BS23"/>
          <cell r="BT23"/>
          <cell r="BU23" t="str">
            <v/>
          </cell>
          <cell r="BV23"/>
          <cell r="BW23"/>
          <cell r="BX23" t="str">
            <v/>
          </cell>
          <cell r="BY23"/>
          <cell r="BZ23"/>
        </row>
        <row r="24">
          <cell r="D24" t="str">
            <v>9304</v>
          </cell>
          <cell r="E24"/>
          <cell r="F24"/>
          <cell r="G24" t="str">
            <v>MH</v>
          </cell>
          <cell r="H24"/>
          <cell r="I24"/>
          <cell r="J24"/>
          <cell r="K24"/>
          <cell r="L24" t="str">
            <v>9304FL</v>
          </cell>
          <cell r="M24"/>
          <cell r="N24"/>
          <cell r="O24" t="str">
            <v>9304FR</v>
          </cell>
          <cell r="P24"/>
          <cell r="Q24"/>
          <cell r="R24" t="str">
            <v>9304RL</v>
          </cell>
          <cell r="S24"/>
          <cell r="T24"/>
          <cell r="U24" t="str">
            <v>9304RR</v>
          </cell>
          <cell r="V24"/>
          <cell r="W24"/>
          <cell r="X24" t="str">
            <v/>
          </cell>
          <cell r="Y24"/>
          <cell r="Z24" t="str">
            <v/>
          </cell>
          <cell r="AA24"/>
          <cell r="AB24" t="str">
            <v/>
          </cell>
          <cell r="AC24"/>
          <cell r="AD24" t="str">
            <v/>
          </cell>
          <cell r="AE24"/>
          <cell r="AF24" t="str">
            <v/>
          </cell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>
            <v>0</v>
          </cell>
          <cell r="BF24"/>
          <cell r="BG24"/>
          <cell r="BH24">
            <v>0</v>
          </cell>
          <cell r="BI24"/>
          <cell r="BJ24"/>
          <cell r="BL24">
            <v>5</v>
          </cell>
          <cell r="BM24"/>
          <cell r="BN24"/>
          <cell r="BO24" t="str">
            <v/>
          </cell>
          <cell r="BP24"/>
          <cell r="BQ24"/>
          <cell r="BR24" t="str">
            <v/>
          </cell>
          <cell r="BS24"/>
          <cell r="BT24"/>
          <cell r="BU24" t="str">
            <v/>
          </cell>
          <cell r="BV24"/>
          <cell r="BW24"/>
          <cell r="BX24" t="str">
            <v/>
          </cell>
          <cell r="BY24"/>
          <cell r="BZ24"/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</row>
        <row r="25"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 t="str">
            <v/>
          </cell>
          <cell r="Y25"/>
          <cell r="Z25" t="str">
            <v/>
          </cell>
          <cell r="AA25"/>
          <cell r="AB25" t="str">
            <v/>
          </cell>
          <cell r="AC25"/>
          <cell r="AD25" t="str">
            <v/>
          </cell>
          <cell r="AE25"/>
          <cell r="AF25" t="str">
            <v/>
          </cell>
          <cell r="AG25"/>
          <cell r="AH25" t="str">
            <v/>
          </cell>
          <cell r="AI25"/>
          <cell r="AJ25" t="str">
            <v/>
          </cell>
          <cell r="AK25"/>
          <cell r="AL25" t="str">
            <v/>
          </cell>
          <cell r="AM25"/>
          <cell r="AN25" t="str">
            <v/>
          </cell>
          <cell r="AO25"/>
          <cell r="AP25" t="str">
            <v/>
          </cell>
          <cell r="AQ25"/>
          <cell r="AR25" t="str">
            <v/>
          </cell>
          <cell r="AS25"/>
          <cell r="AT25" t="str">
            <v/>
          </cell>
          <cell r="AU25"/>
          <cell r="AV25" t="str">
            <v/>
          </cell>
          <cell r="AW25"/>
          <cell r="AX25" t="str">
            <v/>
          </cell>
          <cell r="AY25"/>
          <cell r="AZ25" t="str">
            <v/>
          </cell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L25">
            <v>6</v>
          </cell>
          <cell r="BM25"/>
          <cell r="BN25"/>
          <cell r="BO25" t="str">
            <v/>
          </cell>
          <cell r="BP25"/>
          <cell r="BQ25"/>
          <cell r="BR25" t="str">
            <v/>
          </cell>
          <cell r="BS25"/>
          <cell r="BT25"/>
          <cell r="BU25" t="str">
            <v/>
          </cell>
          <cell r="BV25"/>
          <cell r="BW25"/>
          <cell r="BX25" t="str">
            <v/>
          </cell>
          <cell r="BY25"/>
          <cell r="BZ25"/>
        </row>
        <row r="26">
          <cell r="D26" t="str">
            <v>9305</v>
          </cell>
          <cell r="E26"/>
          <cell r="F26"/>
          <cell r="G26" t="str">
            <v>MH</v>
          </cell>
          <cell r="H26"/>
          <cell r="I26"/>
          <cell r="J26"/>
          <cell r="K26"/>
          <cell r="L26" t="str">
            <v>9305FL</v>
          </cell>
          <cell r="M26"/>
          <cell r="N26"/>
          <cell r="O26" t="str">
            <v>9305FR</v>
          </cell>
          <cell r="P26"/>
          <cell r="Q26"/>
          <cell r="R26" t="str">
            <v>9305RL</v>
          </cell>
          <cell r="S26"/>
          <cell r="T26"/>
          <cell r="U26" t="str">
            <v>9305RR</v>
          </cell>
          <cell r="V26"/>
          <cell r="W26"/>
          <cell r="X26" t="str">
            <v/>
          </cell>
          <cell r="Y26"/>
          <cell r="Z26" t="str">
            <v/>
          </cell>
          <cell r="AA26"/>
          <cell r="AB26" t="str">
            <v/>
          </cell>
          <cell r="AC26"/>
          <cell r="AD26" t="str">
            <v/>
          </cell>
          <cell r="AE26"/>
          <cell r="AF26" t="str">
            <v/>
          </cell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>
            <v>0</v>
          </cell>
          <cell r="BF26"/>
          <cell r="BG26"/>
          <cell r="BH26">
            <v>0</v>
          </cell>
          <cell r="BI26"/>
          <cell r="BJ26"/>
          <cell r="BL26">
            <v>7</v>
          </cell>
          <cell r="BM26"/>
          <cell r="BN26"/>
          <cell r="BO26" t="str">
            <v/>
          </cell>
          <cell r="BP26"/>
          <cell r="BQ26"/>
          <cell r="BR26" t="str">
            <v/>
          </cell>
          <cell r="BS26"/>
          <cell r="BT26"/>
          <cell r="BU26" t="str">
            <v/>
          </cell>
          <cell r="BV26"/>
          <cell r="BW26"/>
          <cell r="BX26" t="str">
            <v/>
          </cell>
          <cell r="BY26"/>
          <cell r="BZ26"/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</row>
        <row r="27"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 t="str">
            <v/>
          </cell>
          <cell r="Y27"/>
          <cell r="Z27" t="str">
            <v/>
          </cell>
          <cell r="AA27"/>
          <cell r="AB27" t="str">
            <v/>
          </cell>
          <cell r="AC27"/>
          <cell r="AD27" t="str">
            <v/>
          </cell>
          <cell r="AE27"/>
          <cell r="AF27" t="str">
            <v/>
          </cell>
          <cell r="AG27"/>
          <cell r="AH27" t="str">
            <v/>
          </cell>
          <cell r="AI27"/>
          <cell r="AJ27" t="str">
            <v/>
          </cell>
          <cell r="AK27"/>
          <cell r="AL27" t="str">
            <v/>
          </cell>
          <cell r="AM27"/>
          <cell r="AN27" t="str">
            <v/>
          </cell>
          <cell r="AO27"/>
          <cell r="AP27" t="str">
            <v/>
          </cell>
          <cell r="AQ27"/>
          <cell r="AR27" t="str">
            <v/>
          </cell>
          <cell r="AS27"/>
          <cell r="AT27" t="str">
            <v/>
          </cell>
          <cell r="AU27"/>
          <cell r="AV27" t="str">
            <v/>
          </cell>
          <cell r="AW27"/>
          <cell r="AX27" t="str">
            <v/>
          </cell>
          <cell r="AY27"/>
          <cell r="AZ27" t="str">
            <v/>
          </cell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L27">
            <v>8</v>
          </cell>
          <cell r="BM27"/>
          <cell r="BN27"/>
          <cell r="BO27" t="str">
            <v/>
          </cell>
          <cell r="BP27"/>
          <cell r="BQ27"/>
          <cell r="BR27" t="str">
            <v/>
          </cell>
          <cell r="BS27"/>
          <cell r="BT27"/>
          <cell r="BU27" t="str">
            <v/>
          </cell>
          <cell r="BV27"/>
          <cell r="BW27"/>
          <cell r="BX27" t="str">
            <v/>
          </cell>
          <cell r="BY27"/>
          <cell r="BZ27"/>
        </row>
        <row r="28">
          <cell r="D28" t="str">
            <v>9306</v>
          </cell>
          <cell r="E28"/>
          <cell r="F28"/>
          <cell r="G28" t="str">
            <v>MH</v>
          </cell>
          <cell r="H28"/>
          <cell r="I28"/>
          <cell r="J28"/>
          <cell r="K28"/>
          <cell r="L28" t="str">
            <v>9306FL</v>
          </cell>
          <cell r="M28"/>
          <cell r="N28"/>
          <cell r="O28" t="str">
            <v>9306FR</v>
          </cell>
          <cell r="P28"/>
          <cell r="Q28"/>
          <cell r="R28" t="str">
            <v>9306RL</v>
          </cell>
          <cell r="S28"/>
          <cell r="T28"/>
          <cell r="U28" t="str">
            <v>9306RR</v>
          </cell>
          <cell r="V28"/>
          <cell r="W28"/>
          <cell r="X28" t="str">
            <v/>
          </cell>
          <cell r="Y28"/>
          <cell r="Z28" t="str">
            <v/>
          </cell>
          <cell r="AA28"/>
          <cell r="AB28" t="str">
            <v/>
          </cell>
          <cell r="AC28"/>
          <cell r="AD28" t="str">
            <v/>
          </cell>
          <cell r="AE28"/>
          <cell r="AF28" t="str">
            <v/>
          </cell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>
            <v>0</v>
          </cell>
          <cell r="BF28"/>
          <cell r="BG28"/>
          <cell r="BH28">
            <v>0</v>
          </cell>
          <cell r="BI28"/>
          <cell r="BJ28"/>
          <cell r="BL28">
            <v>9</v>
          </cell>
          <cell r="BM28"/>
          <cell r="BN28"/>
          <cell r="BO28" t="str">
            <v/>
          </cell>
          <cell r="BP28"/>
          <cell r="BQ28"/>
          <cell r="BR28" t="str">
            <v/>
          </cell>
          <cell r="BS28"/>
          <cell r="BT28"/>
          <cell r="BU28" t="str">
            <v/>
          </cell>
          <cell r="BV28"/>
          <cell r="BW28"/>
          <cell r="BX28" t="str">
            <v/>
          </cell>
          <cell r="BY28"/>
          <cell r="BZ28"/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</row>
        <row r="29"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 t="str">
            <v/>
          </cell>
          <cell r="Y29"/>
          <cell r="Z29" t="str">
            <v/>
          </cell>
          <cell r="AA29"/>
          <cell r="AB29" t="str">
            <v/>
          </cell>
          <cell r="AC29"/>
          <cell r="AD29" t="str">
            <v/>
          </cell>
          <cell r="AE29"/>
          <cell r="AF29" t="str">
            <v/>
          </cell>
          <cell r="AG29"/>
          <cell r="AH29" t="str">
            <v/>
          </cell>
          <cell r="AI29"/>
          <cell r="AJ29" t="str">
            <v/>
          </cell>
          <cell r="AK29"/>
          <cell r="AL29" t="str">
            <v/>
          </cell>
          <cell r="AM29"/>
          <cell r="AN29" t="str">
            <v/>
          </cell>
          <cell r="AO29"/>
          <cell r="AP29" t="str">
            <v/>
          </cell>
          <cell r="AQ29"/>
          <cell r="AR29" t="str">
            <v/>
          </cell>
          <cell r="AS29"/>
          <cell r="AT29" t="str">
            <v/>
          </cell>
          <cell r="AU29"/>
          <cell r="AV29" t="str">
            <v/>
          </cell>
          <cell r="AW29"/>
          <cell r="AX29" t="str">
            <v/>
          </cell>
          <cell r="AY29"/>
          <cell r="AZ29" t="str">
            <v/>
          </cell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L29">
            <v>10</v>
          </cell>
          <cell r="BM29"/>
          <cell r="BN29"/>
          <cell r="BO29" t="str">
            <v/>
          </cell>
          <cell r="BP29"/>
          <cell r="BQ29"/>
          <cell r="BR29" t="str">
            <v/>
          </cell>
          <cell r="BS29"/>
          <cell r="BT29"/>
          <cell r="BU29" t="str">
            <v/>
          </cell>
          <cell r="BV29"/>
          <cell r="BW29"/>
          <cell r="BX29" t="str">
            <v/>
          </cell>
          <cell r="BY29"/>
          <cell r="BZ29"/>
        </row>
        <row r="30">
          <cell r="D30" t="str">
            <v>9307</v>
          </cell>
          <cell r="E30"/>
          <cell r="F30"/>
          <cell r="G30" t="str">
            <v>MH</v>
          </cell>
          <cell r="H30"/>
          <cell r="I30"/>
          <cell r="J30"/>
          <cell r="K30"/>
          <cell r="L30" t="str">
            <v>9307FL</v>
          </cell>
          <cell r="M30"/>
          <cell r="N30"/>
          <cell r="O30" t="str">
            <v>9307FR</v>
          </cell>
          <cell r="P30"/>
          <cell r="Q30"/>
          <cell r="R30" t="str">
            <v>9307RL</v>
          </cell>
          <cell r="S30"/>
          <cell r="T30"/>
          <cell r="U30" t="str">
            <v>9307RR</v>
          </cell>
          <cell r="V30"/>
          <cell r="W30"/>
          <cell r="X30" t="str">
            <v/>
          </cell>
          <cell r="Y30"/>
          <cell r="Z30" t="str">
            <v/>
          </cell>
          <cell r="AA30"/>
          <cell r="AB30" t="str">
            <v/>
          </cell>
          <cell r="AC30"/>
          <cell r="AD30" t="str">
            <v/>
          </cell>
          <cell r="AE30"/>
          <cell r="AF30" t="str">
            <v/>
          </cell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>
            <v>0</v>
          </cell>
          <cell r="BF30"/>
          <cell r="BG30"/>
          <cell r="BH30">
            <v>0</v>
          </cell>
          <cell r="BI30"/>
          <cell r="BJ30"/>
          <cell r="BL30">
            <v>11</v>
          </cell>
          <cell r="BM30"/>
          <cell r="BN30"/>
          <cell r="BO30" t="str">
            <v/>
          </cell>
          <cell r="BP30"/>
          <cell r="BQ30"/>
          <cell r="BR30" t="str">
            <v/>
          </cell>
          <cell r="BS30"/>
          <cell r="BT30"/>
          <cell r="BU30" t="str">
            <v/>
          </cell>
          <cell r="BV30"/>
          <cell r="BW30"/>
          <cell r="BX30" t="str">
            <v/>
          </cell>
          <cell r="BY30"/>
          <cell r="BZ30"/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</row>
        <row r="31"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 t="str">
            <v/>
          </cell>
          <cell r="Y31"/>
          <cell r="Z31" t="str">
            <v/>
          </cell>
          <cell r="AA31"/>
          <cell r="AB31" t="str">
            <v/>
          </cell>
          <cell r="AC31"/>
          <cell r="AD31" t="str">
            <v/>
          </cell>
          <cell r="AE31"/>
          <cell r="AF31" t="str">
            <v/>
          </cell>
          <cell r="AG31"/>
          <cell r="AH31" t="str">
            <v/>
          </cell>
          <cell r="AI31"/>
          <cell r="AJ31" t="str">
            <v/>
          </cell>
          <cell r="AK31"/>
          <cell r="AL31" t="str">
            <v/>
          </cell>
          <cell r="AM31"/>
          <cell r="AN31" t="str">
            <v/>
          </cell>
          <cell r="AO31"/>
          <cell r="AP31" t="str">
            <v/>
          </cell>
          <cell r="AQ31"/>
          <cell r="AR31" t="str">
            <v/>
          </cell>
          <cell r="AS31"/>
          <cell r="AT31" t="str">
            <v/>
          </cell>
          <cell r="AU31"/>
          <cell r="AV31" t="str">
            <v/>
          </cell>
          <cell r="AW31"/>
          <cell r="AX31" t="str">
            <v/>
          </cell>
          <cell r="AY31"/>
          <cell r="AZ31" t="str">
            <v/>
          </cell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L31">
            <v>12</v>
          </cell>
          <cell r="BM31"/>
          <cell r="BN31"/>
          <cell r="BO31" t="str">
            <v/>
          </cell>
          <cell r="BP31"/>
          <cell r="BQ31"/>
          <cell r="BR31" t="str">
            <v/>
          </cell>
          <cell r="BS31"/>
          <cell r="BT31"/>
          <cell r="BU31" t="str">
            <v/>
          </cell>
          <cell r="BV31"/>
          <cell r="BW31"/>
          <cell r="BX31" t="str">
            <v/>
          </cell>
          <cell r="BY31"/>
          <cell r="BZ31"/>
        </row>
        <row r="32">
          <cell r="D32" t="str">
            <v>9401</v>
          </cell>
          <cell r="E32"/>
          <cell r="F32"/>
          <cell r="G32" t="str">
            <v>SH/MH</v>
          </cell>
          <cell r="H32"/>
          <cell r="I32"/>
          <cell r="J32"/>
          <cell r="K32"/>
          <cell r="L32" t="str">
            <v>9401FL</v>
          </cell>
          <cell r="M32"/>
          <cell r="N32"/>
          <cell r="O32" t="str">
            <v>9401FR</v>
          </cell>
          <cell r="P32"/>
          <cell r="Q32"/>
          <cell r="R32" t="str">
            <v>9401RL</v>
          </cell>
          <cell r="S32"/>
          <cell r="T32"/>
          <cell r="U32" t="str">
            <v>9401RR</v>
          </cell>
          <cell r="V32"/>
          <cell r="W32"/>
          <cell r="X32" t="str">
            <v/>
          </cell>
          <cell r="Y32"/>
          <cell r="Z32" t="str">
            <v/>
          </cell>
          <cell r="AA32"/>
          <cell r="AB32">
            <v>5</v>
          </cell>
          <cell r="AC32"/>
          <cell r="AD32" t="str">
            <v/>
          </cell>
          <cell r="AE32"/>
          <cell r="AF32" t="str">
            <v/>
          </cell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>
            <v>5</v>
          </cell>
          <cell r="BF32"/>
          <cell r="BG32"/>
          <cell r="BH32">
            <v>23.275000000000002</v>
          </cell>
          <cell r="BI32"/>
          <cell r="BJ32"/>
          <cell r="BL32">
            <v>13</v>
          </cell>
          <cell r="BM32"/>
          <cell r="BN32"/>
          <cell r="BO32" t="str">
            <v/>
          </cell>
          <cell r="BP32"/>
          <cell r="BQ32"/>
          <cell r="BR32" t="str">
            <v/>
          </cell>
          <cell r="BS32"/>
          <cell r="BT32"/>
          <cell r="BU32" t="str">
            <v/>
          </cell>
          <cell r="BV32"/>
          <cell r="BW32"/>
          <cell r="BX32" t="str">
            <v/>
          </cell>
          <cell r="BY32"/>
          <cell r="BZ32"/>
          <cell r="CB32">
            <v>0</v>
          </cell>
          <cell r="CC32">
            <v>0</v>
          </cell>
          <cell r="CD32">
            <v>23.275000000000002</v>
          </cell>
          <cell r="CE32">
            <v>23.275000000000002</v>
          </cell>
          <cell r="CF32">
            <v>23.275000000000002</v>
          </cell>
          <cell r="CG32">
            <v>23.275000000000002</v>
          </cell>
          <cell r="CH32">
            <v>23.275000000000002</v>
          </cell>
        </row>
        <row r="33"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 t="str">
            <v/>
          </cell>
          <cell r="Y33"/>
          <cell r="Z33" t="str">
            <v/>
          </cell>
          <cell r="AA33"/>
          <cell r="AB33">
            <v>23.275000000000002</v>
          </cell>
          <cell r="AC33"/>
          <cell r="AD33" t="str">
            <v/>
          </cell>
          <cell r="AE33"/>
          <cell r="AF33" t="str">
            <v/>
          </cell>
          <cell r="AG33"/>
          <cell r="AH33" t="str">
            <v/>
          </cell>
          <cell r="AI33"/>
          <cell r="AJ33" t="str">
            <v/>
          </cell>
          <cell r="AK33"/>
          <cell r="AL33" t="str">
            <v/>
          </cell>
          <cell r="AM33"/>
          <cell r="AN33" t="str">
            <v/>
          </cell>
          <cell r="AO33"/>
          <cell r="AP33" t="str">
            <v/>
          </cell>
          <cell r="AQ33"/>
          <cell r="AR33" t="str">
            <v/>
          </cell>
          <cell r="AS33"/>
          <cell r="AT33" t="str">
            <v/>
          </cell>
          <cell r="AU33"/>
          <cell r="AV33" t="str">
            <v/>
          </cell>
          <cell r="AW33"/>
          <cell r="AX33" t="str">
            <v/>
          </cell>
          <cell r="AY33"/>
          <cell r="AZ33" t="str">
            <v/>
          </cell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L33">
            <v>14</v>
          </cell>
          <cell r="BM33"/>
          <cell r="BN33"/>
          <cell r="BO33" t="str">
            <v/>
          </cell>
          <cell r="BP33"/>
          <cell r="BQ33"/>
          <cell r="BR33" t="str">
            <v/>
          </cell>
          <cell r="BS33"/>
          <cell r="BT33"/>
          <cell r="BU33" t="str">
            <v/>
          </cell>
          <cell r="BV33"/>
          <cell r="BW33"/>
          <cell r="BX33" t="str">
            <v/>
          </cell>
          <cell r="BY33"/>
          <cell r="BZ33"/>
        </row>
        <row r="34">
          <cell r="D34" t="str">
            <v>9402</v>
          </cell>
          <cell r="E34"/>
          <cell r="F34"/>
          <cell r="G34" t="str">
            <v>SH/MH</v>
          </cell>
          <cell r="H34"/>
          <cell r="I34"/>
          <cell r="J34"/>
          <cell r="K34"/>
          <cell r="L34" t="str">
            <v>9402FL</v>
          </cell>
          <cell r="M34"/>
          <cell r="N34"/>
          <cell r="O34" t="str">
            <v>9402FR</v>
          </cell>
          <cell r="P34"/>
          <cell r="Q34"/>
          <cell r="R34" t="str">
            <v>9402RL</v>
          </cell>
          <cell r="S34"/>
          <cell r="T34"/>
          <cell r="U34" t="str">
            <v>9402RR</v>
          </cell>
          <cell r="V34"/>
          <cell r="W34"/>
          <cell r="X34" t="str">
            <v/>
          </cell>
          <cell r="Y34"/>
          <cell r="Z34" t="str">
            <v/>
          </cell>
          <cell r="AA34"/>
          <cell r="AB34" t="str">
            <v/>
          </cell>
          <cell r="AC34"/>
          <cell r="AD34">
            <v>4</v>
          </cell>
          <cell r="AE34"/>
          <cell r="AF34" t="str">
            <v/>
          </cell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>
            <v>4</v>
          </cell>
          <cell r="BF34"/>
          <cell r="BG34"/>
          <cell r="BH34">
            <v>18.62</v>
          </cell>
          <cell r="BI34"/>
          <cell r="BJ34"/>
          <cell r="BL34">
            <v>15</v>
          </cell>
          <cell r="BM34"/>
          <cell r="BN34"/>
          <cell r="BO34" t="str">
            <v/>
          </cell>
          <cell r="BP34"/>
          <cell r="BQ34"/>
          <cell r="BR34" t="str">
            <v/>
          </cell>
          <cell r="BS34"/>
          <cell r="BT34"/>
          <cell r="BU34" t="str">
            <v/>
          </cell>
          <cell r="BV34"/>
          <cell r="BW34"/>
          <cell r="BX34" t="str">
            <v/>
          </cell>
          <cell r="BY34"/>
          <cell r="BZ34"/>
          <cell r="CB34">
            <v>0</v>
          </cell>
          <cell r="CC34">
            <v>0</v>
          </cell>
          <cell r="CD34">
            <v>0</v>
          </cell>
          <cell r="CE34">
            <v>18.62</v>
          </cell>
          <cell r="CF34">
            <v>18.62</v>
          </cell>
          <cell r="CG34">
            <v>18.62</v>
          </cell>
          <cell r="CH34">
            <v>18.62</v>
          </cell>
        </row>
        <row r="35"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 t="str">
            <v/>
          </cell>
          <cell r="Y35"/>
          <cell r="Z35" t="str">
            <v/>
          </cell>
          <cell r="AA35"/>
          <cell r="AB35" t="str">
            <v/>
          </cell>
          <cell r="AC35"/>
          <cell r="AD35">
            <v>18.62</v>
          </cell>
          <cell r="AE35"/>
          <cell r="AF35" t="str">
            <v/>
          </cell>
          <cell r="AG35"/>
          <cell r="AH35" t="str">
            <v/>
          </cell>
          <cell r="AI35"/>
          <cell r="AJ35" t="str">
            <v/>
          </cell>
          <cell r="AK35"/>
          <cell r="AL35" t="str">
            <v/>
          </cell>
          <cell r="AM35"/>
          <cell r="AN35" t="str">
            <v/>
          </cell>
          <cell r="AO35"/>
          <cell r="AP35" t="str">
            <v/>
          </cell>
          <cell r="AQ35"/>
          <cell r="AR35" t="str">
            <v/>
          </cell>
          <cell r="AS35"/>
          <cell r="AT35" t="str">
            <v/>
          </cell>
          <cell r="AU35"/>
          <cell r="AV35" t="str">
            <v/>
          </cell>
          <cell r="AW35"/>
          <cell r="AX35" t="str">
            <v/>
          </cell>
          <cell r="AY35"/>
          <cell r="AZ35" t="str">
            <v/>
          </cell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L35">
            <v>16</v>
          </cell>
          <cell r="BM35"/>
          <cell r="BN35"/>
          <cell r="BO35" t="str">
            <v/>
          </cell>
          <cell r="BP35"/>
          <cell r="BQ35"/>
          <cell r="BR35" t="str">
            <v/>
          </cell>
          <cell r="BS35"/>
          <cell r="BT35"/>
          <cell r="BU35" t="str">
            <v/>
          </cell>
          <cell r="BV35"/>
          <cell r="BW35"/>
          <cell r="BX35" t="str">
            <v/>
          </cell>
          <cell r="BY35"/>
          <cell r="BZ35"/>
        </row>
        <row r="36">
          <cell r="D36" t="str">
            <v>9403</v>
          </cell>
          <cell r="E36"/>
          <cell r="F36"/>
          <cell r="G36" t="str">
            <v>SH/MH</v>
          </cell>
          <cell r="H36"/>
          <cell r="I36"/>
          <cell r="J36"/>
          <cell r="K36"/>
          <cell r="L36" t="str">
            <v>9403FL</v>
          </cell>
          <cell r="M36"/>
          <cell r="N36"/>
          <cell r="O36" t="str">
            <v>9403FR</v>
          </cell>
          <cell r="P36"/>
          <cell r="Q36"/>
          <cell r="R36" t="str">
            <v>9403RL</v>
          </cell>
          <cell r="S36"/>
          <cell r="T36"/>
          <cell r="U36" t="str">
            <v>9403RR</v>
          </cell>
          <cell r="V36"/>
          <cell r="W36"/>
          <cell r="X36" t="str">
            <v/>
          </cell>
          <cell r="Y36"/>
          <cell r="Z36" t="str">
            <v/>
          </cell>
          <cell r="AA36"/>
          <cell r="AB36" t="str">
            <v/>
          </cell>
          <cell r="AC36"/>
          <cell r="AD36" t="str">
            <v/>
          </cell>
          <cell r="AE36"/>
          <cell r="AF36">
            <v>67</v>
          </cell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>
            <v>67</v>
          </cell>
          <cell r="BF36"/>
          <cell r="BG36"/>
          <cell r="BH36">
            <v>311.88499999999999</v>
          </cell>
          <cell r="BI36"/>
          <cell r="BJ36"/>
          <cell r="BL36">
            <v>17</v>
          </cell>
          <cell r="BM36"/>
          <cell r="BN36"/>
          <cell r="BO36" t="str">
            <v/>
          </cell>
          <cell r="BP36"/>
          <cell r="BQ36"/>
          <cell r="BR36" t="str">
            <v/>
          </cell>
          <cell r="BS36"/>
          <cell r="BT36"/>
          <cell r="BU36" t="str">
            <v/>
          </cell>
          <cell r="BV36"/>
          <cell r="BW36"/>
          <cell r="BX36" t="str">
            <v/>
          </cell>
          <cell r="BY36"/>
          <cell r="BZ36"/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311.88499999999999</v>
          </cell>
          <cell r="CG36">
            <v>311.88499999999999</v>
          </cell>
          <cell r="CH36">
            <v>311.88499999999999</v>
          </cell>
        </row>
        <row r="37"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 t="str">
            <v/>
          </cell>
          <cell r="Y37"/>
          <cell r="Z37" t="str">
            <v/>
          </cell>
          <cell r="AA37"/>
          <cell r="AB37" t="str">
            <v/>
          </cell>
          <cell r="AC37"/>
          <cell r="AD37" t="str">
            <v/>
          </cell>
          <cell r="AE37"/>
          <cell r="AF37">
            <v>311.88499999999999</v>
          </cell>
          <cell r="AG37"/>
          <cell r="AH37" t="str">
            <v/>
          </cell>
          <cell r="AI37"/>
          <cell r="AJ37" t="str">
            <v/>
          </cell>
          <cell r="AK37"/>
          <cell r="AL37" t="str">
            <v/>
          </cell>
          <cell r="AM37"/>
          <cell r="AN37" t="str">
            <v/>
          </cell>
          <cell r="AO37"/>
          <cell r="AP37" t="str">
            <v/>
          </cell>
          <cell r="AQ37"/>
          <cell r="AR37" t="str">
            <v/>
          </cell>
          <cell r="AS37"/>
          <cell r="AT37" t="str">
            <v/>
          </cell>
          <cell r="AU37"/>
          <cell r="AV37" t="str">
            <v/>
          </cell>
          <cell r="AW37"/>
          <cell r="AX37" t="str">
            <v/>
          </cell>
          <cell r="AY37"/>
          <cell r="AZ37" t="str">
            <v/>
          </cell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L37">
            <v>18</v>
          </cell>
          <cell r="BM37"/>
          <cell r="BN37"/>
          <cell r="BO37" t="str">
            <v/>
          </cell>
          <cell r="BP37"/>
          <cell r="BQ37"/>
          <cell r="BR37" t="str">
            <v/>
          </cell>
          <cell r="BS37"/>
          <cell r="BT37"/>
          <cell r="BU37" t="str">
            <v/>
          </cell>
          <cell r="BV37"/>
          <cell r="BW37"/>
          <cell r="BX37" t="str">
            <v/>
          </cell>
          <cell r="BY37"/>
          <cell r="BZ37"/>
        </row>
        <row r="38">
          <cell r="D38" t="str">
            <v>9404</v>
          </cell>
          <cell r="E38"/>
          <cell r="F38"/>
          <cell r="G38" t="str">
            <v>SH/MH</v>
          </cell>
          <cell r="H38"/>
          <cell r="I38"/>
          <cell r="J38"/>
          <cell r="K38"/>
          <cell r="L38" t="str">
            <v>9404FL</v>
          </cell>
          <cell r="M38"/>
          <cell r="N38"/>
          <cell r="O38" t="str">
            <v>9404FR</v>
          </cell>
          <cell r="P38"/>
          <cell r="Q38"/>
          <cell r="R38" t="str">
            <v>9404RL</v>
          </cell>
          <cell r="S38"/>
          <cell r="T38"/>
          <cell r="U38" t="str">
            <v>9404RR</v>
          </cell>
          <cell r="V38"/>
          <cell r="W38"/>
          <cell r="X38" t="str">
            <v/>
          </cell>
          <cell r="Y38"/>
          <cell r="Z38" t="str">
            <v/>
          </cell>
          <cell r="AA38"/>
          <cell r="AB38" t="str">
            <v/>
          </cell>
          <cell r="AC38"/>
          <cell r="AD38">
            <v>3</v>
          </cell>
          <cell r="AE38"/>
          <cell r="AF38">
            <v>37</v>
          </cell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>
            <v>40</v>
          </cell>
          <cell r="BF38"/>
          <cell r="BG38"/>
          <cell r="BH38">
            <v>186.20000000000002</v>
          </cell>
          <cell r="BI38"/>
          <cell r="BJ38"/>
          <cell r="BL38">
            <v>19</v>
          </cell>
          <cell r="BM38"/>
          <cell r="BN38"/>
          <cell r="BO38" t="str">
            <v/>
          </cell>
          <cell r="BP38"/>
          <cell r="BQ38"/>
          <cell r="BR38" t="str">
            <v/>
          </cell>
          <cell r="BS38"/>
          <cell r="BT38"/>
          <cell r="BU38" t="str">
            <v/>
          </cell>
          <cell r="BV38"/>
          <cell r="BW38"/>
          <cell r="BX38" t="str">
            <v/>
          </cell>
          <cell r="BY38"/>
          <cell r="BZ38"/>
          <cell r="CB38">
            <v>0</v>
          </cell>
          <cell r="CC38">
            <v>0</v>
          </cell>
          <cell r="CD38">
            <v>0</v>
          </cell>
          <cell r="CE38">
            <v>13.965</v>
          </cell>
          <cell r="CF38">
            <v>186.20000000000002</v>
          </cell>
          <cell r="CG38">
            <v>186.20000000000002</v>
          </cell>
          <cell r="CH38">
            <v>186.20000000000002</v>
          </cell>
        </row>
        <row r="39"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 t="str">
            <v/>
          </cell>
          <cell r="Y39"/>
          <cell r="Z39" t="str">
            <v/>
          </cell>
          <cell r="AA39"/>
          <cell r="AB39" t="str">
            <v/>
          </cell>
          <cell r="AC39"/>
          <cell r="AD39">
            <v>13.965</v>
          </cell>
          <cell r="AE39"/>
          <cell r="AF39">
            <v>172.23500000000001</v>
          </cell>
          <cell r="AG39"/>
          <cell r="AH39" t="str">
            <v/>
          </cell>
          <cell r="AI39"/>
          <cell r="AJ39" t="str">
            <v/>
          </cell>
          <cell r="AK39"/>
          <cell r="AL39" t="str">
            <v/>
          </cell>
          <cell r="AM39"/>
          <cell r="AN39" t="str">
            <v/>
          </cell>
          <cell r="AO39"/>
          <cell r="AP39" t="str">
            <v/>
          </cell>
          <cell r="AQ39"/>
          <cell r="AR39" t="str">
            <v/>
          </cell>
          <cell r="AS39"/>
          <cell r="AT39" t="str">
            <v/>
          </cell>
          <cell r="AU39"/>
          <cell r="AV39" t="str">
            <v/>
          </cell>
          <cell r="AW39"/>
          <cell r="AX39" t="str">
            <v/>
          </cell>
          <cell r="AY39"/>
          <cell r="AZ39" t="str">
            <v/>
          </cell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L39">
            <v>20</v>
          </cell>
          <cell r="BM39"/>
          <cell r="BN39"/>
          <cell r="BO39" t="str">
            <v/>
          </cell>
          <cell r="BP39"/>
          <cell r="BQ39"/>
          <cell r="BR39" t="str">
            <v/>
          </cell>
          <cell r="BS39"/>
          <cell r="BT39"/>
          <cell r="BU39" t="str">
            <v/>
          </cell>
          <cell r="BV39"/>
          <cell r="BW39"/>
          <cell r="BX39" t="str">
            <v/>
          </cell>
          <cell r="BY39"/>
          <cell r="BZ39"/>
        </row>
        <row r="40">
          <cell r="D40" t="str">
            <v>9405</v>
          </cell>
          <cell r="E40"/>
          <cell r="F40"/>
          <cell r="G40" t="str">
            <v>SH/MH</v>
          </cell>
          <cell r="H40"/>
          <cell r="I40"/>
          <cell r="J40"/>
          <cell r="K40"/>
          <cell r="L40" t="str">
            <v>9405FL</v>
          </cell>
          <cell r="M40"/>
          <cell r="N40"/>
          <cell r="O40" t="str">
            <v>9405FR</v>
          </cell>
          <cell r="P40"/>
          <cell r="Q40"/>
          <cell r="R40" t="str">
            <v>9405RL</v>
          </cell>
          <cell r="S40"/>
          <cell r="T40"/>
          <cell r="U40" t="str">
            <v>9405RR</v>
          </cell>
          <cell r="V40"/>
          <cell r="W40"/>
          <cell r="X40" t="str">
            <v/>
          </cell>
          <cell r="Y40"/>
          <cell r="Z40" t="str">
            <v/>
          </cell>
          <cell r="AA40"/>
          <cell r="AB40" t="str">
            <v/>
          </cell>
          <cell r="AC40"/>
          <cell r="AD40" t="str">
            <v/>
          </cell>
          <cell r="AE40"/>
          <cell r="AF40">
            <v>38</v>
          </cell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>
            <v>38</v>
          </cell>
          <cell r="BF40"/>
          <cell r="BG40"/>
          <cell r="BH40">
            <v>176.89000000000001</v>
          </cell>
          <cell r="BI40"/>
          <cell r="BJ40"/>
          <cell r="BL40">
            <v>21</v>
          </cell>
          <cell r="BM40"/>
          <cell r="BN40"/>
          <cell r="BO40" t="str">
            <v/>
          </cell>
          <cell r="BP40"/>
          <cell r="BQ40"/>
          <cell r="BR40" t="str">
            <v/>
          </cell>
          <cell r="BS40"/>
          <cell r="BT40"/>
          <cell r="BU40" t="str">
            <v/>
          </cell>
          <cell r="BV40"/>
          <cell r="BW40"/>
          <cell r="BX40" t="str">
            <v/>
          </cell>
          <cell r="BY40"/>
          <cell r="BZ40"/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176.89000000000001</v>
          </cell>
          <cell r="CG40">
            <v>176.89000000000001</v>
          </cell>
          <cell r="CH40">
            <v>176.89000000000001</v>
          </cell>
        </row>
        <row r="41"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 t="str">
            <v/>
          </cell>
          <cell r="Y41"/>
          <cell r="Z41" t="str">
            <v/>
          </cell>
          <cell r="AA41"/>
          <cell r="AB41" t="str">
            <v/>
          </cell>
          <cell r="AC41"/>
          <cell r="AD41" t="str">
            <v/>
          </cell>
          <cell r="AE41"/>
          <cell r="AF41">
            <v>176.89000000000001</v>
          </cell>
          <cell r="AG41"/>
          <cell r="AH41" t="str">
            <v/>
          </cell>
          <cell r="AI41"/>
          <cell r="AJ41" t="str">
            <v/>
          </cell>
          <cell r="AK41"/>
          <cell r="AL41" t="str">
            <v/>
          </cell>
          <cell r="AM41"/>
          <cell r="AN41" t="str">
            <v/>
          </cell>
          <cell r="AO41"/>
          <cell r="AP41" t="str">
            <v/>
          </cell>
          <cell r="AQ41"/>
          <cell r="AR41" t="str">
            <v/>
          </cell>
          <cell r="AS41"/>
          <cell r="AT41" t="str">
            <v/>
          </cell>
          <cell r="AU41"/>
          <cell r="AV41" t="str">
            <v/>
          </cell>
          <cell r="AW41"/>
          <cell r="AX41" t="str">
            <v/>
          </cell>
          <cell r="AY41"/>
          <cell r="AZ41" t="str">
            <v/>
          </cell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L41">
            <v>22</v>
          </cell>
          <cell r="BM41"/>
          <cell r="BN41"/>
          <cell r="BO41" t="str">
            <v/>
          </cell>
          <cell r="BP41"/>
          <cell r="BQ41"/>
          <cell r="BR41" t="str">
            <v/>
          </cell>
          <cell r="BS41"/>
          <cell r="BT41"/>
          <cell r="BU41" t="str">
            <v/>
          </cell>
          <cell r="BV41"/>
          <cell r="BW41"/>
          <cell r="BX41" t="str">
            <v/>
          </cell>
          <cell r="BY41"/>
          <cell r="BZ41"/>
        </row>
        <row r="42">
          <cell r="D42" t="str">
            <v>9406</v>
          </cell>
          <cell r="E42"/>
          <cell r="F42"/>
          <cell r="G42" t="str">
            <v>SH/MH</v>
          </cell>
          <cell r="H42"/>
          <cell r="I42"/>
          <cell r="J42"/>
          <cell r="K42"/>
          <cell r="L42" t="str">
            <v>9406FL</v>
          </cell>
          <cell r="M42"/>
          <cell r="N42"/>
          <cell r="O42" t="str">
            <v>9406FR</v>
          </cell>
          <cell r="P42"/>
          <cell r="Q42"/>
          <cell r="R42" t="str">
            <v>9406RL</v>
          </cell>
          <cell r="S42"/>
          <cell r="T42"/>
          <cell r="U42" t="str">
            <v>9406RR</v>
          </cell>
          <cell r="V42"/>
          <cell r="W42"/>
          <cell r="X42" t="str">
            <v/>
          </cell>
          <cell r="Y42"/>
          <cell r="Z42" t="str">
            <v/>
          </cell>
          <cell r="AA42"/>
          <cell r="AB42" t="str">
            <v/>
          </cell>
          <cell r="AC42"/>
          <cell r="AD42" t="str">
            <v/>
          </cell>
          <cell r="AE42"/>
          <cell r="AF42">
            <v>25</v>
          </cell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>
            <v>25</v>
          </cell>
          <cell r="BF42"/>
          <cell r="BG42"/>
          <cell r="BH42">
            <v>116.375</v>
          </cell>
          <cell r="BI42"/>
          <cell r="BJ42"/>
          <cell r="BL42">
            <v>23</v>
          </cell>
          <cell r="BM42"/>
          <cell r="BN42"/>
          <cell r="BO42" t="str">
            <v/>
          </cell>
          <cell r="BP42"/>
          <cell r="BQ42"/>
          <cell r="BR42" t="str">
            <v/>
          </cell>
          <cell r="BS42"/>
          <cell r="BT42"/>
          <cell r="BU42" t="str">
            <v/>
          </cell>
          <cell r="BV42"/>
          <cell r="BW42"/>
          <cell r="BX42" t="str">
            <v/>
          </cell>
          <cell r="BY42"/>
          <cell r="BZ42"/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116.375</v>
          </cell>
          <cell r="CG42">
            <v>116.375</v>
          </cell>
          <cell r="CH42">
            <v>116.375</v>
          </cell>
        </row>
        <row r="43"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 t="str">
            <v/>
          </cell>
          <cell r="Y43"/>
          <cell r="Z43" t="str">
            <v/>
          </cell>
          <cell r="AA43"/>
          <cell r="AB43" t="str">
            <v/>
          </cell>
          <cell r="AC43"/>
          <cell r="AD43" t="str">
            <v/>
          </cell>
          <cell r="AE43"/>
          <cell r="AF43">
            <v>116.375</v>
          </cell>
          <cell r="AG43"/>
          <cell r="AH43" t="str">
            <v/>
          </cell>
          <cell r="AI43"/>
          <cell r="AJ43" t="str">
            <v/>
          </cell>
          <cell r="AK43"/>
          <cell r="AL43" t="str">
            <v/>
          </cell>
          <cell r="AM43"/>
          <cell r="AN43" t="str">
            <v/>
          </cell>
          <cell r="AO43"/>
          <cell r="AP43" t="str">
            <v/>
          </cell>
          <cell r="AQ43"/>
          <cell r="AR43" t="str">
            <v/>
          </cell>
          <cell r="AS43"/>
          <cell r="AT43" t="str">
            <v/>
          </cell>
          <cell r="AU43"/>
          <cell r="AV43" t="str">
            <v/>
          </cell>
          <cell r="AW43"/>
          <cell r="AX43" t="str">
            <v/>
          </cell>
          <cell r="AY43"/>
          <cell r="AZ43" t="str">
            <v/>
          </cell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L43">
            <v>24</v>
          </cell>
          <cell r="BM43"/>
          <cell r="BN43"/>
          <cell r="BO43" t="str">
            <v/>
          </cell>
          <cell r="BP43"/>
          <cell r="BQ43"/>
          <cell r="BR43" t="str">
            <v/>
          </cell>
          <cell r="BS43"/>
          <cell r="BT43"/>
          <cell r="BU43" t="str">
            <v/>
          </cell>
          <cell r="BV43"/>
          <cell r="BW43"/>
          <cell r="BX43" t="str">
            <v/>
          </cell>
          <cell r="BY43"/>
          <cell r="BZ43"/>
        </row>
        <row r="44">
          <cell r="D44" t="str">
            <v>9407</v>
          </cell>
          <cell r="E44"/>
          <cell r="F44"/>
          <cell r="G44" t="str">
            <v>SH/MH</v>
          </cell>
          <cell r="H44"/>
          <cell r="I44"/>
          <cell r="J44"/>
          <cell r="K44"/>
          <cell r="L44" t="str">
            <v>9407FL</v>
          </cell>
          <cell r="M44"/>
          <cell r="N44"/>
          <cell r="O44" t="str">
            <v>9407FR</v>
          </cell>
          <cell r="P44"/>
          <cell r="Q44"/>
          <cell r="R44" t="str">
            <v>9407RL</v>
          </cell>
          <cell r="S44"/>
          <cell r="T44"/>
          <cell r="U44" t="str">
            <v>9407RR</v>
          </cell>
          <cell r="V44"/>
          <cell r="W44"/>
          <cell r="X44" t="str">
            <v/>
          </cell>
          <cell r="Y44"/>
          <cell r="Z44" t="str">
            <v/>
          </cell>
          <cell r="AA44"/>
          <cell r="AB44" t="str">
            <v/>
          </cell>
          <cell r="AC44"/>
          <cell r="AD44" t="str">
            <v/>
          </cell>
          <cell r="AE44"/>
          <cell r="AF44">
            <v>39</v>
          </cell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>
            <v>39</v>
          </cell>
          <cell r="BF44"/>
          <cell r="BG44"/>
          <cell r="BH44">
            <v>181.54500000000002</v>
          </cell>
          <cell r="BI44"/>
          <cell r="BJ44"/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181.54500000000002</v>
          </cell>
          <cell r="CG44">
            <v>181.54500000000002</v>
          </cell>
          <cell r="CH44">
            <v>181.54500000000002</v>
          </cell>
        </row>
        <row r="45"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 t="str">
            <v/>
          </cell>
          <cell r="Y45"/>
          <cell r="Z45" t="str">
            <v/>
          </cell>
          <cell r="AA45"/>
          <cell r="AB45" t="str">
            <v/>
          </cell>
          <cell r="AC45"/>
          <cell r="AD45" t="str">
            <v/>
          </cell>
          <cell r="AE45"/>
          <cell r="AF45">
            <v>181.54500000000002</v>
          </cell>
          <cell r="AG45"/>
          <cell r="AH45" t="str">
            <v/>
          </cell>
          <cell r="AI45"/>
          <cell r="AJ45" t="str">
            <v/>
          </cell>
          <cell r="AK45"/>
          <cell r="AL45" t="str">
            <v/>
          </cell>
          <cell r="AM45"/>
          <cell r="AN45" t="str">
            <v/>
          </cell>
          <cell r="AO45"/>
          <cell r="AP45" t="str">
            <v/>
          </cell>
          <cell r="AQ45"/>
          <cell r="AR45" t="str">
            <v/>
          </cell>
          <cell r="AS45"/>
          <cell r="AT45" t="str">
            <v/>
          </cell>
          <cell r="AU45"/>
          <cell r="AV45" t="str">
            <v/>
          </cell>
          <cell r="AW45"/>
          <cell r="AX45" t="str">
            <v/>
          </cell>
          <cell r="AY45"/>
          <cell r="AZ45" t="str">
            <v/>
          </cell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</row>
        <row r="46">
          <cell r="D46" t="str">
            <v>9408</v>
          </cell>
          <cell r="E46"/>
          <cell r="F46"/>
          <cell r="G46" t="str">
            <v>SH/MH</v>
          </cell>
          <cell r="H46"/>
          <cell r="I46"/>
          <cell r="J46"/>
          <cell r="K46"/>
          <cell r="L46" t="str">
            <v>9408FL</v>
          </cell>
          <cell r="M46"/>
          <cell r="N46"/>
          <cell r="O46" t="str">
            <v>9408FR</v>
          </cell>
          <cell r="P46"/>
          <cell r="Q46"/>
          <cell r="R46" t="str">
            <v>9408RL</v>
          </cell>
          <cell r="S46"/>
          <cell r="T46"/>
          <cell r="U46" t="str">
            <v>9408RR</v>
          </cell>
          <cell r="V46"/>
          <cell r="W46"/>
          <cell r="X46" t="str">
            <v/>
          </cell>
          <cell r="Y46"/>
          <cell r="Z46" t="str">
            <v/>
          </cell>
          <cell r="AA46"/>
          <cell r="AB46" t="str">
            <v/>
          </cell>
          <cell r="AC46"/>
          <cell r="AD46" t="str">
            <v/>
          </cell>
          <cell r="AE46"/>
          <cell r="AF46">
            <v>41</v>
          </cell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>
            <v>41</v>
          </cell>
          <cell r="BF46"/>
          <cell r="BG46"/>
          <cell r="BH46">
            <v>190.85500000000002</v>
          </cell>
          <cell r="BI46"/>
          <cell r="BJ46"/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190.85500000000002</v>
          </cell>
          <cell r="CG46">
            <v>190.85500000000002</v>
          </cell>
          <cell r="CH46">
            <v>190.85500000000002</v>
          </cell>
        </row>
        <row r="47"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 t="str">
            <v/>
          </cell>
          <cell r="Y47"/>
          <cell r="Z47" t="str">
            <v/>
          </cell>
          <cell r="AA47"/>
          <cell r="AB47" t="str">
            <v/>
          </cell>
          <cell r="AC47"/>
          <cell r="AD47" t="str">
            <v/>
          </cell>
          <cell r="AE47"/>
          <cell r="AF47">
            <v>190.85500000000002</v>
          </cell>
          <cell r="AG47"/>
          <cell r="AH47" t="str">
            <v/>
          </cell>
          <cell r="AI47"/>
          <cell r="AJ47" t="str">
            <v/>
          </cell>
          <cell r="AK47"/>
          <cell r="AL47" t="str">
            <v/>
          </cell>
          <cell r="AM47"/>
          <cell r="AN47" t="str">
            <v/>
          </cell>
          <cell r="AO47"/>
          <cell r="AP47" t="str">
            <v/>
          </cell>
          <cell r="AQ47"/>
          <cell r="AR47" t="str">
            <v/>
          </cell>
          <cell r="AS47"/>
          <cell r="AT47" t="str">
            <v/>
          </cell>
          <cell r="AU47"/>
          <cell r="AV47" t="str">
            <v/>
          </cell>
          <cell r="AW47"/>
          <cell r="AX47" t="str">
            <v/>
          </cell>
          <cell r="AY47"/>
          <cell r="AZ47" t="str">
            <v/>
          </cell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</row>
        <row r="48">
          <cell r="D48" t="str">
            <v>9409</v>
          </cell>
          <cell r="E48"/>
          <cell r="F48"/>
          <cell r="G48" t="str">
            <v>SH/MH</v>
          </cell>
          <cell r="H48"/>
          <cell r="I48"/>
          <cell r="J48"/>
          <cell r="K48"/>
          <cell r="L48" t="str">
            <v>9409FL</v>
          </cell>
          <cell r="M48"/>
          <cell r="N48"/>
          <cell r="O48" t="str">
            <v>9409FR</v>
          </cell>
          <cell r="P48"/>
          <cell r="Q48"/>
          <cell r="R48" t="str">
            <v>9409RL</v>
          </cell>
          <cell r="S48"/>
          <cell r="T48"/>
          <cell r="U48" t="str">
            <v>9409RR</v>
          </cell>
          <cell r="V48"/>
          <cell r="W48"/>
          <cell r="X48" t="str">
            <v/>
          </cell>
          <cell r="Y48"/>
          <cell r="Z48" t="str">
            <v/>
          </cell>
          <cell r="AA48"/>
          <cell r="AB48" t="str">
            <v/>
          </cell>
          <cell r="AC48"/>
          <cell r="AD48" t="str">
            <v/>
          </cell>
          <cell r="AE48"/>
          <cell r="AF48" t="str">
            <v/>
          </cell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>
            <v>0</v>
          </cell>
          <cell r="BF48"/>
          <cell r="BG48"/>
          <cell r="BH48">
            <v>0</v>
          </cell>
          <cell r="BI48"/>
          <cell r="BJ48"/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</row>
        <row r="49"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 t="str">
            <v/>
          </cell>
          <cell r="Y49"/>
          <cell r="Z49" t="str">
            <v/>
          </cell>
          <cell r="AA49"/>
          <cell r="AB49" t="str">
            <v/>
          </cell>
          <cell r="AC49"/>
          <cell r="AD49" t="str">
            <v/>
          </cell>
          <cell r="AE49"/>
          <cell r="AF49" t="str">
            <v/>
          </cell>
          <cell r="AG49"/>
          <cell r="AH49" t="str">
            <v/>
          </cell>
          <cell r="AI49"/>
          <cell r="AJ49" t="str">
            <v/>
          </cell>
          <cell r="AK49"/>
          <cell r="AL49" t="str">
            <v/>
          </cell>
          <cell r="AM49"/>
          <cell r="AN49" t="str">
            <v/>
          </cell>
          <cell r="AO49"/>
          <cell r="AP49" t="str">
            <v/>
          </cell>
          <cell r="AQ49"/>
          <cell r="AR49" t="str">
            <v/>
          </cell>
          <cell r="AS49"/>
          <cell r="AT49" t="str">
            <v/>
          </cell>
          <cell r="AU49"/>
          <cell r="AV49" t="str">
            <v/>
          </cell>
          <cell r="AW49"/>
          <cell r="AX49" t="str">
            <v/>
          </cell>
          <cell r="AY49"/>
          <cell r="AZ49" t="str">
            <v/>
          </cell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</row>
        <row r="50"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 t="str">
            <v/>
          </cell>
          <cell r="P50"/>
          <cell r="Q50"/>
          <cell r="R50" t="str">
            <v/>
          </cell>
          <cell r="S50"/>
          <cell r="T50"/>
          <cell r="U50" t="str">
            <v/>
          </cell>
          <cell r="V50"/>
          <cell r="W50"/>
          <cell r="X50" t="str">
            <v/>
          </cell>
          <cell r="Y50"/>
          <cell r="Z50" t="str">
            <v/>
          </cell>
          <cell r="AA50"/>
          <cell r="AB50" t="str">
            <v/>
          </cell>
          <cell r="AC50"/>
          <cell r="AD50" t="str">
            <v/>
          </cell>
          <cell r="AE50"/>
          <cell r="AF50" t="str">
            <v/>
          </cell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 t="str">
            <v/>
          </cell>
          <cell r="BF50"/>
          <cell r="BG50"/>
          <cell r="BH50" t="str">
            <v/>
          </cell>
          <cell r="BI50"/>
          <cell r="BJ50"/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</row>
        <row r="51"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 t="str">
            <v/>
          </cell>
          <cell r="Y51"/>
          <cell r="Z51" t="str">
            <v/>
          </cell>
          <cell r="AA51"/>
          <cell r="AB51" t="str">
            <v/>
          </cell>
          <cell r="AC51"/>
          <cell r="AD51" t="str">
            <v/>
          </cell>
          <cell r="AE51"/>
          <cell r="AF51" t="str">
            <v/>
          </cell>
          <cell r="AG51"/>
          <cell r="AH51" t="str">
            <v/>
          </cell>
          <cell r="AI51"/>
          <cell r="AJ51" t="str">
            <v/>
          </cell>
          <cell r="AK51"/>
          <cell r="AL51" t="str">
            <v/>
          </cell>
          <cell r="AM51"/>
          <cell r="AN51" t="str">
            <v/>
          </cell>
          <cell r="AO51"/>
          <cell r="AP51" t="str">
            <v/>
          </cell>
          <cell r="AQ51"/>
          <cell r="AR51" t="str">
            <v/>
          </cell>
          <cell r="AS51"/>
          <cell r="AT51" t="str">
            <v/>
          </cell>
          <cell r="AU51"/>
          <cell r="AV51" t="str">
            <v/>
          </cell>
          <cell r="AW51"/>
          <cell r="AX51" t="str">
            <v/>
          </cell>
          <cell r="AY51"/>
          <cell r="AZ51" t="str">
            <v/>
          </cell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</row>
        <row r="52"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 t="str">
            <v/>
          </cell>
          <cell r="P52"/>
          <cell r="Q52"/>
          <cell r="R52" t="str">
            <v/>
          </cell>
          <cell r="S52"/>
          <cell r="T52"/>
          <cell r="U52" t="str">
            <v/>
          </cell>
          <cell r="V52"/>
          <cell r="W52"/>
          <cell r="X52" t="str">
            <v/>
          </cell>
          <cell r="Y52"/>
          <cell r="Z52" t="str">
            <v/>
          </cell>
          <cell r="AA52"/>
          <cell r="AB52" t="str">
            <v/>
          </cell>
          <cell r="AC52"/>
          <cell r="AD52" t="str">
            <v/>
          </cell>
          <cell r="AE52"/>
          <cell r="AF52" t="str">
            <v/>
          </cell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 t="str">
            <v/>
          </cell>
          <cell r="BF52"/>
          <cell r="BG52"/>
          <cell r="BH52" t="str">
            <v/>
          </cell>
          <cell r="BI52"/>
          <cell r="BJ52"/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</row>
        <row r="53"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 t="str">
            <v/>
          </cell>
          <cell r="Y53"/>
          <cell r="Z53" t="str">
            <v/>
          </cell>
          <cell r="AA53"/>
          <cell r="AB53" t="str">
            <v/>
          </cell>
          <cell r="AC53"/>
          <cell r="AD53" t="str">
            <v/>
          </cell>
          <cell r="AE53"/>
          <cell r="AF53" t="str">
            <v/>
          </cell>
          <cell r="AG53"/>
          <cell r="AH53" t="str">
            <v/>
          </cell>
          <cell r="AI53"/>
          <cell r="AJ53" t="str">
            <v/>
          </cell>
          <cell r="AK53"/>
          <cell r="AL53" t="str">
            <v/>
          </cell>
          <cell r="AM53"/>
          <cell r="AN53" t="str">
            <v/>
          </cell>
          <cell r="AO53"/>
          <cell r="AP53" t="str">
            <v/>
          </cell>
          <cell r="AQ53"/>
          <cell r="AR53" t="str">
            <v/>
          </cell>
          <cell r="AS53"/>
          <cell r="AT53" t="str">
            <v/>
          </cell>
          <cell r="AU53"/>
          <cell r="AV53" t="str">
            <v/>
          </cell>
          <cell r="AW53"/>
          <cell r="AX53" t="str">
            <v/>
          </cell>
          <cell r="AY53"/>
          <cell r="AZ53" t="str">
            <v/>
          </cell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</row>
        <row r="54"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 t="str">
            <v/>
          </cell>
          <cell r="P54"/>
          <cell r="Q54"/>
          <cell r="R54" t="str">
            <v/>
          </cell>
          <cell r="S54"/>
          <cell r="T54"/>
          <cell r="U54" t="str">
            <v/>
          </cell>
          <cell r="V54"/>
          <cell r="W54"/>
          <cell r="X54" t="str">
            <v/>
          </cell>
          <cell r="Y54"/>
          <cell r="Z54" t="str">
            <v/>
          </cell>
          <cell r="AA54"/>
          <cell r="AB54" t="str">
            <v/>
          </cell>
          <cell r="AC54"/>
          <cell r="AD54" t="str">
            <v/>
          </cell>
          <cell r="AE54"/>
          <cell r="AF54" t="str">
            <v/>
          </cell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 t="str">
            <v/>
          </cell>
          <cell r="BF54"/>
          <cell r="BG54"/>
          <cell r="BH54" t="str">
            <v/>
          </cell>
          <cell r="BI54"/>
          <cell r="BJ54"/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</row>
        <row r="55"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 t="str">
            <v/>
          </cell>
          <cell r="Y55"/>
          <cell r="Z55" t="str">
            <v/>
          </cell>
          <cell r="AA55"/>
          <cell r="AB55" t="str">
            <v/>
          </cell>
          <cell r="AC55"/>
          <cell r="AD55" t="str">
            <v/>
          </cell>
          <cell r="AE55"/>
          <cell r="AF55" t="str">
            <v/>
          </cell>
          <cell r="AG55"/>
          <cell r="AH55" t="str">
            <v/>
          </cell>
          <cell r="AI55"/>
          <cell r="AJ55" t="str">
            <v/>
          </cell>
          <cell r="AK55"/>
          <cell r="AL55" t="str">
            <v/>
          </cell>
          <cell r="AM55"/>
          <cell r="AN55" t="str">
            <v/>
          </cell>
          <cell r="AO55"/>
          <cell r="AP55" t="str">
            <v/>
          </cell>
          <cell r="AQ55"/>
          <cell r="AR55" t="str">
            <v/>
          </cell>
          <cell r="AS55"/>
          <cell r="AT55" t="str">
            <v/>
          </cell>
          <cell r="AU55"/>
          <cell r="AV55" t="str">
            <v/>
          </cell>
          <cell r="AW55"/>
          <cell r="AX55" t="str">
            <v/>
          </cell>
          <cell r="AY55"/>
          <cell r="AZ55" t="str">
            <v/>
          </cell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</row>
        <row r="56"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 t="str">
            <v/>
          </cell>
          <cell r="P56"/>
          <cell r="Q56"/>
          <cell r="R56" t="str">
            <v/>
          </cell>
          <cell r="S56"/>
          <cell r="T56"/>
          <cell r="U56" t="str">
            <v/>
          </cell>
          <cell r="V56"/>
          <cell r="W56"/>
          <cell r="X56" t="str">
            <v/>
          </cell>
          <cell r="Y56"/>
          <cell r="Z56" t="str">
            <v/>
          </cell>
          <cell r="AA56"/>
          <cell r="AB56" t="str">
            <v/>
          </cell>
          <cell r="AC56"/>
          <cell r="AD56" t="str">
            <v/>
          </cell>
          <cell r="AE56"/>
          <cell r="AF56" t="str">
            <v/>
          </cell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 t="str">
            <v/>
          </cell>
          <cell r="BF56"/>
          <cell r="BG56"/>
          <cell r="BH56" t="str">
            <v/>
          </cell>
          <cell r="BI56"/>
          <cell r="BJ56"/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</row>
        <row r="57"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 t="str">
            <v/>
          </cell>
          <cell r="Y57"/>
          <cell r="Z57" t="str">
            <v/>
          </cell>
          <cell r="AA57"/>
          <cell r="AB57" t="str">
            <v/>
          </cell>
          <cell r="AC57"/>
          <cell r="AD57" t="str">
            <v/>
          </cell>
          <cell r="AE57"/>
          <cell r="AF57" t="str">
            <v/>
          </cell>
          <cell r="AG57"/>
          <cell r="AH57" t="str">
            <v/>
          </cell>
          <cell r="AI57"/>
          <cell r="AJ57" t="str">
            <v/>
          </cell>
          <cell r="AK57"/>
          <cell r="AL57" t="str">
            <v/>
          </cell>
          <cell r="AM57"/>
          <cell r="AN57" t="str">
            <v/>
          </cell>
          <cell r="AO57"/>
          <cell r="AP57" t="str">
            <v/>
          </cell>
          <cell r="AQ57"/>
          <cell r="AR57" t="str">
            <v/>
          </cell>
          <cell r="AS57"/>
          <cell r="AT57" t="str">
            <v/>
          </cell>
          <cell r="AU57"/>
          <cell r="AV57" t="str">
            <v/>
          </cell>
          <cell r="AW57"/>
          <cell r="AX57" t="str">
            <v/>
          </cell>
          <cell r="AY57"/>
          <cell r="AZ57" t="str">
            <v/>
          </cell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</row>
        <row r="58"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 t="str">
            <v/>
          </cell>
          <cell r="P58"/>
          <cell r="Q58"/>
          <cell r="R58" t="str">
            <v/>
          </cell>
          <cell r="S58"/>
          <cell r="T58"/>
          <cell r="U58" t="str">
            <v/>
          </cell>
          <cell r="V58"/>
          <cell r="W58"/>
          <cell r="X58" t="str">
            <v/>
          </cell>
          <cell r="Y58"/>
          <cell r="Z58" t="str">
            <v/>
          </cell>
          <cell r="AA58"/>
          <cell r="AB58" t="str">
            <v/>
          </cell>
          <cell r="AC58"/>
          <cell r="AD58" t="str">
            <v/>
          </cell>
          <cell r="AE58"/>
          <cell r="AF58" t="str">
            <v/>
          </cell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 t="str">
            <v/>
          </cell>
          <cell r="BF58"/>
          <cell r="BG58"/>
          <cell r="BH58" t="str">
            <v/>
          </cell>
          <cell r="BI58"/>
          <cell r="BJ58"/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</row>
        <row r="59"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 t="str">
            <v/>
          </cell>
          <cell r="Y59"/>
          <cell r="Z59" t="str">
            <v/>
          </cell>
          <cell r="AA59"/>
          <cell r="AB59" t="str">
            <v/>
          </cell>
          <cell r="AC59"/>
          <cell r="AD59" t="str">
            <v/>
          </cell>
          <cell r="AE59"/>
          <cell r="AF59" t="str">
            <v/>
          </cell>
          <cell r="AG59"/>
          <cell r="AH59" t="str">
            <v/>
          </cell>
          <cell r="AI59"/>
          <cell r="AJ59" t="str">
            <v/>
          </cell>
          <cell r="AK59"/>
          <cell r="AL59" t="str">
            <v/>
          </cell>
          <cell r="AM59"/>
          <cell r="AN59" t="str">
            <v/>
          </cell>
          <cell r="AO59"/>
          <cell r="AP59" t="str">
            <v/>
          </cell>
          <cell r="AQ59"/>
          <cell r="AR59" t="str">
            <v/>
          </cell>
          <cell r="AS59"/>
          <cell r="AT59" t="str">
            <v/>
          </cell>
          <cell r="AU59"/>
          <cell r="AV59" t="str">
            <v/>
          </cell>
          <cell r="AW59"/>
          <cell r="AX59" t="str">
            <v/>
          </cell>
          <cell r="AY59"/>
          <cell r="AZ59" t="str">
            <v/>
          </cell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</row>
        <row r="60"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 t="str">
            <v/>
          </cell>
          <cell r="P60"/>
          <cell r="Q60"/>
          <cell r="R60" t="str">
            <v/>
          </cell>
          <cell r="S60"/>
          <cell r="T60"/>
          <cell r="U60" t="str">
            <v/>
          </cell>
          <cell r="V60"/>
          <cell r="W60"/>
          <cell r="X60" t="str">
            <v/>
          </cell>
          <cell r="Y60"/>
          <cell r="Z60" t="str">
            <v/>
          </cell>
          <cell r="AA60"/>
          <cell r="AB60" t="str">
            <v/>
          </cell>
          <cell r="AC60"/>
          <cell r="AD60" t="str">
            <v/>
          </cell>
          <cell r="AE60"/>
          <cell r="AF60" t="str">
            <v/>
          </cell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 t="str">
            <v/>
          </cell>
          <cell r="BF60"/>
          <cell r="BG60"/>
          <cell r="BH60" t="str">
            <v/>
          </cell>
          <cell r="BI60"/>
          <cell r="BJ60"/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</row>
        <row r="61"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 t="str">
            <v/>
          </cell>
          <cell r="Y61"/>
          <cell r="Z61" t="str">
            <v/>
          </cell>
          <cell r="AA61"/>
          <cell r="AB61" t="str">
            <v/>
          </cell>
          <cell r="AC61"/>
          <cell r="AD61" t="str">
            <v/>
          </cell>
          <cell r="AE61"/>
          <cell r="AF61" t="str">
            <v/>
          </cell>
          <cell r="AG61"/>
          <cell r="AH61" t="str">
            <v/>
          </cell>
          <cell r="AI61"/>
          <cell r="AJ61" t="str">
            <v/>
          </cell>
          <cell r="AK61"/>
          <cell r="AL61" t="str">
            <v/>
          </cell>
          <cell r="AM61"/>
          <cell r="AN61" t="str">
            <v/>
          </cell>
          <cell r="AO61"/>
          <cell r="AP61" t="str">
            <v/>
          </cell>
          <cell r="AQ61"/>
          <cell r="AR61" t="str">
            <v/>
          </cell>
          <cell r="AS61"/>
          <cell r="AT61" t="str">
            <v/>
          </cell>
          <cell r="AU61"/>
          <cell r="AV61" t="str">
            <v/>
          </cell>
          <cell r="AW61"/>
          <cell r="AX61" t="str">
            <v/>
          </cell>
          <cell r="AY61"/>
          <cell r="AZ61" t="str">
            <v/>
          </cell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</row>
        <row r="62"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 t="str">
            <v/>
          </cell>
          <cell r="P62"/>
          <cell r="Q62"/>
          <cell r="R62" t="str">
            <v/>
          </cell>
          <cell r="S62"/>
          <cell r="T62"/>
          <cell r="U62" t="str">
            <v/>
          </cell>
          <cell r="V62"/>
          <cell r="W62"/>
          <cell r="X62" t="str">
            <v/>
          </cell>
          <cell r="Y62"/>
          <cell r="Z62" t="str">
            <v/>
          </cell>
          <cell r="AA62"/>
          <cell r="AB62" t="str">
            <v/>
          </cell>
          <cell r="AC62"/>
          <cell r="AD62" t="str">
            <v/>
          </cell>
          <cell r="AE62"/>
          <cell r="AF62" t="str">
            <v/>
          </cell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 t="str">
            <v/>
          </cell>
          <cell r="BF62"/>
          <cell r="BG62"/>
          <cell r="BH62" t="str">
            <v/>
          </cell>
          <cell r="BI62"/>
          <cell r="BJ62"/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</row>
        <row r="63"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 t="str">
            <v/>
          </cell>
          <cell r="Y63"/>
          <cell r="Z63" t="str">
            <v/>
          </cell>
          <cell r="AA63"/>
          <cell r="AB63" t="str">
            <v/>
          </cell>
          <cell r="AC63"/>
          <cell r="AD63" t="str">
            <v/>
          </cell>
          <cell r="AE63"/>
          <cell r="AF63" t="str">
            <v/>
          </cell>
          <cell r="AG63"/>
          <cell r="AH63" t="str">
            <v/>
          </cell>
          <cell r="AI63"/>
          <cell r="AJ63" t="str">
            <v/>
          </cell>
          <cell r="AK63"/>
          <cell r="AL63" t="str">
            <v/>
          </cell>
          <cell r="AM63"/>
          <cell r="AN63" t="str">
            <v/>
          </cell>
          <cell r="AO63"/>
          <cell r="AP63" t="str">
            <v/>
          </cell>
          <cell r="AQ63"/>
          <cell r="AR63" t="str">
            <v/>
          </cell>
          <cell r="AS63"/>
          <cell r="AT63" t="str">
            <v/>
          </cell>
          <cell r="AU63"/>
          <cell r="AV63" t="str">
            <v/>
          </cell>
          <cell r="AW63"/>
          <cell r="AX63" t="str">
            <v/>
          </cell>
          <cell r="AY63"/>
          <cell r="AZ63" t="str">
            <v/>
          </cell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</row>
        <row r="64"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 t="str">
            <v/>
          </cell>
          <cell r="P64"/>
          <cell r="Q64"/>
          <cell r="R64" t="str">
            <v/>
          </cell>
          <cell r="S64"/>
          <cell r="T64"/>
          <cell r="U64" t="str">
            <v/>
          </cell>
          <cell r="V64"/>
          <cell r="W64"/>
          <cell r="X64" t="str">
            <v/>
          </cell>
          <cell r="Y64"/>
          <cell r="Z64" t="str">
            <v/>
          </cell>
          <cell r="AA64"/>
          <cell r="AB64" t="str">
            <v/>
          </cell>
          <cell r="AC64"/>
          <cell r="AD64" t="str">
            <v/>
          </cell>
          <cell r="AE64"/>
          <cell r="AF64" t="str">
            <v/>
          </cell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 t="str">
            <v/>
          </cell>
          <cell r="BF64"/>
          <cell r="BG64"/>
          <cell r="BH64" t="str">
            <v/>
          </cell>
          <cell r="BI64"/>
          <cell r="BJ64"/>
          <cell r="CB64">
            <v>0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</row>
        <row r="65"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 t="str">
            <v/>
          </cell>
          <cell r="Y65"/>
          <cell r="Z65" t="str">
            <v/>
          </cell>
          <cell r="AA65"/>
          <cell r="AB65" t="str">
            <v/>
          </cell>
          <cell r="AC65"/>
          <cell r="AD65" t="str">
            <v/>
          </cell>
          <cell r="AE65"/>
          <cell r="AF65" t="str">
            <v/>
          </cell>
          <cell r="AG65"/>
          <cell r="AH65" t="str">
            <v/>
          </cell>
          <cell r="AI65"/>
          <cell r="AJ65" t="str">
            <v/>
          </cell>
          <cell r="AK65"/>
          <cell r="AL65" t="str">
            <v/>
          </cell>
          <cell r="AM65"/>
          <cell r="AN65" t="str">
            <v/>
          </cell>
          <cell r="AO65"/>
          <cell r="AP65" t="str">
            <v/>
          </cell>
          <cell r="AQ65"/>
          <cell r="AR65" t="str">
            <v/>
          </cell>
          <cell r="AS65"/>
          <cell r="AT65" t="str">
            <v/>
          </cell>
          <cell r="AU65"/>
          <cell r="AV65" t="str">
            <v/>
          </cell>
          <cell r="AW65"/>
          <cell r="AX65" t="str">
            <v/>
          </cell>
          <cell r="AY65"/>
          <cell r="AZ65" t="str">
            <v/>
          </cell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</row>
        <row r="66"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 t="str">
            <v/>
          </cell>
          <cell r="P66"/>
          <cell r="Q66"/>
          <cell r="R66" t="str">
            <v/>
          </cell>
          <cell r="S66"/>
          <cell r="T66"/>
          <cell r="U66" t="str">
            <v/>
          </cell>
          <cell r="V66"/>
          <cell r="W66"/>
          <cell r="X66" t="str">
            <v/>
          </cell>
          <cell r="Y66"/>
          <cell r="Z66" t="str">
            <v/>
          </cell>
          <cell r="AA66"/>
          <cell r="AB66" t="str">
            <v/>
          </cell>
          <cell r="AC66"/>
          <cell r="AD66" t="str">
            <v/>
          </cell>
          <cell r="AE66"/>
          <cell r="AF66" t="str">
            <v/>
          </cell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 t="str">
            <v/>
          </cell>
          <cell r="BF66"/>
          <cell r="BG66"/>
          <cell r="BH66" t="str">
            <v/>
          </cell>
          <cell r="BI66"/>
          <cell r="BJ66"/>
          <cell r="CB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</row>
        <row r="67"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 t="str">
            <v/>
          </cell>
          <cell r="Y67"/>
          <cell r="Z67" t="str">
            <v/>
          </cell>
          <cell r="AA67"/>
          <cell r="AB67" t="str">
            <v/>
          </cell>
          <cell r="AC67"/>
          <cell r="AD67" t="str">
            <v/>
          </cell>
          <cell r="AE67"/>
          <cell r="AF67" t="str">
            <v/>
          </cell>
          <cell r="AG67"/>
          <cell r="AH67" t="str">
            <v/>
          </cell>
          <cell r="AI67"/>
          <cell r="AJ67" t="str">
            <v/>
          </cell>
          <cell r="AK67"/>
          <cell r="AL67" t="str">
            <v/>
          </cell>
          <cell r="AM67"/>
          <cell r="AN67" t="str">
            <v/>
          </cell>
          <cell r="AO67"/>
          <cell r="AP67" t="str">
            <v/>
          </cell>
          <cell r="AQ67"/>
          <cell r="AR67" t="str">
            <v/>
          </cell>
          <cell r="AS67"/>
          <cell r="AT67" t="str">
            <v/>
          </cell>
          <cell r="AU67"/>
          <cell r="AV67" t="str">
            <v/>
          </cell>
          <cell r="AW67"/>
          <cell r="AX67" t="str">
            <v/>
          </cell>
          <cell r="AY67"/>
          <cell r="AZ67" t="str">
            <v/>
          </cell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</row>
        <row r="68"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 t="str">
            <v/>
          </cell>
          <cell r="P68"/>
          <cell r="Q68"/>
          <cell r="R68" t="str">
            <v/>
          </cell>
          <cell r="S68"/>
          <cell r="T68"/>
          <cell r="U68" t="str">
            <v/>
          </cell>
          <cell r="V68"/>
          <cell r="W68"/>
          <cell r="X68" t="str">
            <v/>
          </cell>
          <cell r="Y68"/>
          <cell r="Z68" t="str">
            <v/>
          </cell>
          <cell r="AA68"/>
          <cell r="AB68" t="str">
            <v/>
          </cell>
          <cell r="AC68"/>
          <cell r="AD68" t="str">
            <v/>
          </cell>
          <cell r="AE68"/>
          <cell r="AF68" t="str">
            <v/>
          </cell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 t="str">
            <v/>
          </cell>
          <cell r="BF68"/>
          <cell r="BG68"/>
          <cell r="BH68" t="str">
            <v/>
          </cell>
          <cell r="BI68"/>
          <cell r="BJ68"/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</row>
        <row r="69"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 t="str">
            <v/>
          </cell>
          <cell r="Y69"/>
          <cell r="Z69" t="str">
            <v/>
          </cell>
          <cell r="AA69"/>
          <cell r="AB69" t="str">
            <v/>
          </cell>
          <cell r="AC69"/>
          <cell r="AD69" t="str">
            <v/>
          </cell>
          <cell r="AE69"/>
          <cell r="AF69" t="str">
            <v/>
          </cell>
          <cell r="AG69"/>
          <cell r="AH69" t="str">
            <v/>
          </cell>
          <cell r="AI69"/>
          <cell r="AJ69" t="str">
            <v/>
          </cell>
          <cell r="AK69"/>
          <cell r="AL69" t="str">
            <v/>
          </cell>
          <cell r="AM69"/>
          <cell r="AN69" t="str">
            <v/>
          </cell>
          <cell r="AO69"/>
          <cell r="AP69" t="str">
            <v/>
          </cell>
          <cell r="AQ69"/>
          <cell r="AR69" t="str">
            <v/>
          </cell>
          <cell r="AS69"/>
          <cell r="AT69" t="str">
            <v/>
          </cell>
          <cell r="AU69"/>
          <cell r="AV69" t="str">
            <v/>
          </cell>
          <cell r="AW69"/>
          <cell r="AX69" t="str">
            <v/>
          </cell>
          <cell r="AY69"/>
          <cell r="AZ69" t="str">
            <v/>
          </cell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</row>
        <row r="70"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 t="str">
            <v/>
          </cell>
          <cell r="P70"/>
          <cell r="Q70"/>
          <cell r="R70" t="str">
            <v/>
          </cell>
          <cell r="S70"/>
          <cell r="T70"/>
          <cell r="U70" t="str">
            <v/>
          </cell>
          <cell r="V70"/>
          <cell r="W70"/>
          <cell r="X70" t="str">
            <v/>
          </cell>
          <cell r="Y70"/>
          <cell r="Z70" t="str">
            <v/>
          </cell>
          <cell r="AA70"/>
          <cell r="AB70" t="str">
            <v/>
          </cell>
          <cell r="AC70"/>
          <cell r="AD70" t="str">
            <v/>
          </cell>
          <cell r="AE70"/>
          <cell r="AF70" t="str">
            <v/>
          </cell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 t="str">
            <v/>
          </cell>
          <cell r="BF70"/>
          <cell r="BG70"/>
          <cell r="BH70" t="str">
            <v/>
          </cell>
          <cell r="BI70"/>
          <cell r="BJ70"/>
          <cell r="CB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</row>
        <row r="71"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 t="str">
            <v/>
          </cell>
          <cell r="Y71"/>
          <cell r="Z71" t="str">
            <v/>
          </cell>
          <cell r="AA71"/>
          <cell r="AB71" t="str">
            <v/>
          </cell>
          <cell r="AC71"/>
          <cell r="AD71" t="str">
            <v/>
          </cell>
          <cell r="AE71"/>
          <cell r="AF71" t="str">
            <v/>
          </cell>
          <cell r="AG71"/>
          <cell r="AH71" t="str">
            <v/>
          </cell>
          <cell r="AI71"/>
          <cell r="AJ71" t="str">
            <v/>
          </cell>
          <cell r="AK71"/>
          <cell r="AL71" t="str">
            <v/>
          </cell>
          <cell r="AM71"/>
          <cell r="AN71" t="str">
            <v/>
          </cell>
          <cell r="AO71"/>
          <cell r="AP71" t="str">
            <v/>
          </cell>
          <cell r="AQ71"/>
          <cell r="AR71" t="str">
            <v/>
          </cell>
          <cell r="AS71"/>
          <cell r="AT71" t="str">
            <v/>
          </cell>
          <cell r="AU71"/>
          <cell r="AV71" t="str">
            <v/>
          </cell>
          <cell r="AW71"/>
          <cell r="AX71" t="str">
            <v/>
          </cell>
          <cell r="AY71"/>
          <cell r="AZ71" t="str">
            <v/>
          </cell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</row>
        <row r="72"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 t="str">
            <v/>
          </cell>
          <cell r="P72"/>
          <cell r="Q72"/>
          <cell r="R72" t="str">
            <v/>
          </cell>
          <cell r="S72"/>
          <cell r="T72"/>
          <cell r="U72" t="str">
            <v/>
          </cell>
          <cell r="V72"/>
          <cell r="W72"/>
          <cell r="X72" t="str">
            <v/>
          </cell>
          <cell r="Y72"/>
          <cell r="Z72" t="str">
            <v/>
          </cell>
          <cell r="AA72"/>
          <cell r="AB72" t="str">
            <v/>
          </cell>
          <cell r="AC72"/>
          <cell r="AD72" t="str">
            <v/>
          </cell>
          <cell r="AE72"/>
          <cell r="AF72" t="str">
            <v/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 t="str">
            <v/>
          </cell>
          <cell r="BF72"/>
          <cell r="BG72"/>
          <cell r="BH72" t="str">
            <v/>
          </cell>
          <cell r="BI72"/>
          <cell r="BJ72"/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</row>
        <row r="73"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 t="str">
            <v/>
          </cell>
          <cell r="Y73"/>
          <cell r="Z73" t="str">
            <v/>
          </cell>
          <cell r="AA73"/>
          <cell r="AB73" t="str">
            <v/>
          </cell>
          <cell r="AC73"/>
          <cell r="AD73" t="str">
            <v/>
          </cell>
          <cell r="AE73"/>
          <cell r="AF73" t="str">
            <v/>
          </cell>
          <cell r="AG73"/>
          <cell r="AH73" t="str">
            <v/>
          </cell>
          <cell r="AI73"/>
          <cell r="AJ73" t="str">
            <v/>
          </cell>
          <cell r="AK73"/>
          <cell r="AL73" t="str">
            <v/>
          </cell>
          <cell r="AM73"/>
          <cell r="AN73" t="str">
            <v/>
          </cell>
          <cell r="AO73"/>
          <cell r="AP73" t="str">
            <v/>
          </cell>
          <cell r="AQ73"/>
          <cell r="AR73" t="str">
            <v/>
          </cell>
          <cell r="AS73"/>
          <cell r="AT73" t="str">
            <v/>
          </cell>
          <cell r="AU73"/>
          <cell r="AV73" t="str">
            <v/>
          </cell>
          <cell r="AW73"/>
          <cell r="AX73" t="str">
            <v/>
          </cell>
          <cell r="AY73"/>
          <cell r="AZ73" t="str">
            <v/>
          </cell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</row>
        <row r="74"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 t="str">
            <v/>
          </cell>
          <cell r="P74"/>
          <cell r="Q74"/>
          <cell r="R74" t="str">
            <v/>
          </cell>
          <cell r="S74"/>
          <cell r="T74"/>
          <cell r="U74" t="str">
            <v/>
          </cell>
          <cell r="V74"/>
          <cell r="W74"/>
          <cell r="X74" t="str">
            <v/>
          </cell>
          <cell r="Y74"/>
          <cell r="Z74" t="str">
            <v/>
          </cell>
          <cell r="AA74"/>
          <cell r="AB74" t="str">
            <v/>
          </cell>
          <cell r="AC74"/>
          <cell r="AD74" t="str">
            <v/>
          </cell>
          <cell r="AE74"/>
          <cell r="AF74" t="str">
            <v/>
          </cell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 t="str">
            <v/>
          </cell>
          <cell r="BF74"/>
          <cell r="BG74"/>
          <cell r="BH74" t="str">
            <v/>
          </cell>
          <cell r="BI74"/>
          <cell r="BJ74"/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</row>
        <row r="75"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 t="str">
            <v/>
          </cell>
          <cell r="Y75"/>
          <cell r="Z75" t="str">
            <v/>
          </cell>
          <cell r="AA75"/>
          <cell r="AB75" t="str">
            <v/>
          </cell>
          <cell r="AC75"/>
          <cell r="AD75" t="str">
            <v/>
          </cell>
          <cell r="AE75"/>
          <cell r="AF75" t="str">
            <v/>
          </cell>
          <cell r="AG75"/>
          <cell r="AH75" t="str">
            <v/>
          </cell>
          <cell r="AI75"/>
          <cell r="AJ75" t="str">
            <v/>
          </cell>
          <cell r="AK75"/>
          <cell r="AL75" t="str">
            <v/>
          </cell>
          <cell r="AM75"/>
          <cell r="AN75" t="str">
            <v/>
          </cell>
          <cell r="AO75"/>
          <cell r="AP75" t="str">
            <v/>
          </cell>
          <cell r="AQ75"/>
          <cell r="AR75" t="str">
            <v/>
          </cell>
          <cell r="AS75"/>
          <cell r="AT75" t="str">
            <v/>
          </cell>
          <cell r="AU75"/>
          <cell r="AV75" t="str">
            <v/>
          </cell>
          <cell r="AW75"/>
          <cell r="AX75" t="str">
            <v/>
          </cell>
          <cell r="AY75"/>
          <cell r="AZ75" t="str">
            <v/>
          </cell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</row>
      </sheetData>
      <sheetData sheetId="2"/>
      <sheetData sheetId="3">
        <row r="2">
          <cell r="EH2">
            <v>4</v>
          </cell>
          <cell r="EI2">
            <v>13</v>
          </cell>
          <cell r="EJ2">
            <v>13</v>
          </cell>
          <cell r="EK2" t="str">
            <v/>
          </cell>
          <cell r="EL2" t="str">
            <v/>
          </cell>
        </row>
      </sheetData>
      <sheetData sheetId="4">
        <row r="2">
          <cell r="EH2">
            <v>19</v>
          </cell>
        </row>
      </sheetData>
      <sheetData sheetId="5">
        <row r="2">
          <cell r="EH2">
            <v>10</v>
          </cell>
        </row>
      </sheetData>
      <sheetData sheetId="6">
        <row r="2">
          <cell r="EH2" t="str">
            <v/>
          </cell>
        </row>
      </sheetData>
      <sheetData sheetId="7">
        <row r="2">
          <cell r="EH2">
            <v>70</v>
          </cell>
        </row>
      </sheetData>
      <sheetData sheetId="8"/>
      <sheetData sheetId="9">
        <row r="4">
          <cell r="B4" t="str">
            <v>Algarve</v>
          </cell>
          <cell r="C4" t="str">
            <v>Austin</v>
          </cell>
          <cell r="D4" t="str">
            <v>Bahrain</v>
          </cell>
          <cell r="E4" t="str">
            <v>Barcelone</v>
          </cell>
          <cell r="F4" t="str">
            <v>Brno</v>
          </cell>
          <cell r="G4" t="str">
            <v>Bugatti</v>
          </cell>
          <cell r="H4" t="str">
            <v>Buriram</v>
          </cell>
          <cell r="I4" t="str">
            <v>Daytona</v>
          </cell>
          <cell r="J4" t="str">
            <v>Detroit</v>
          </cell>
          <cell r="K4" t="str">
            <v>Donington</v>
          </cell>
          <cell r="L4" t="str">
            <v>Fuji</v>
          </cell>
          <cell r="M4" t="str">
            <v>HTTT S1AV2</v>
          </cell>
          <cell r="N4" t="str">
            <v>Imola</v>
          </cell>
          <cell r="O4" t="str">
            <v>Indianapolis</v>
          </cell>
          <cell r="P4" t="str">
            <v>Inje</v>
          </cell>
          <cell r="Q4" t="str">
            <v>Interlagos</v>
          </cell>
          <cell r="R4" t="str">
            <v>Laguna Seca</v>
          </cell>
          <cell r="S4" t="str">
            <v>Le Mans</v>
          </cell>
          <cell r="T4" t="str">
            <v>Long Beach</v>
          </cell>
          <cell r="U4" t="str">
            <v>Magny Club</v>
          </cell>
          <cell r="V4" t="str">
            <v>Magny-Cours</v>
          </cell>
          <cell r="W4" t="str">
            <v>Maison Blanche</v>
          </cell>
          <cell r="X4" t="str">
            <v>Mexico</v>
          </cell>
          <cell r="Y4" t="str">
            <v>Mid Ohio</v>
          </cell>
          <cell r="Z4" t="str">
            <v>Monza</v>
          </cell>
          <cell r="AA4" t="str">
            <v>Mosport</v>
          </cell>
          <cell r="AB4" t="str">
            <v>Motorland</v>
          </cell>
          <cell r="AC4" t="str">
            <v>Motorland Dunlop</v>
          </cell>
          <cell r="AD4" t="str">
            <v>New Orleans</v>
          </cell>
          <cell r="AE4" t="str">
            <v>Nürburgring</v>
          </cell>
          <cell r="AF4" t="str">
            <v>Palm Beach</v>
          </cell>
          <cell r="AG4" t="str">
            <v>Portimao</v>
          </cell>
          <cell r="AH4" t="str">
            <v>Red Bull Ring</v>
          </cell>
          <cell r="AI4" t="str">
            <v>Road America</v>
          </cell>
          <cell r="AJ4" t="str">
            <v>Road Atlanta</v>
          </cell>
          <cell r="AK4" t="str">
            <v>Sebring</v>
          </cell>
          <cell r="AL4" t="str">
            <v>Sebring North</v>
          </cell>
          <cell r="AM4" t="str">
            <v>Sepang</v>
          </cell>
          <cell r="AN4" t="str">
            <v>Shanghai</v>
          </cell>
          <cell r="AO4" t="str">
            <v>Silverstone</v>
          </cell>
          <cell r="AP4" t="str">
            <v>Snetterton</v>
          </cell>
          <cell r="AQ4" t="str">
            <v>Spa</v>
          </cell>
          <cell r="AR4" t="str">
            <v>Val de Vienne</v>
          </cell>
          <cell r="AS4" t="str">
            <v>Vallelunga</v>
          </cell>
          <cell r="AT4" t="str">
            <v>Watkins Glen</v>
          </cell>
          <cell r="AU4" t="str">
            <v>Zhuhaï</v>
          </cell>
        </row>
        <row r="7">
          <cell r="B7" t="str">
            <v>SC</v>
          </cell>
          <cell r="C7" t="str">
            <v>SH</v>
          </cell>
          <cell r="D7" t="str">
            <v>MH</v>
          </cell>
          <cell r="E7" t="str">
            <v>SC/SH</v>
          </cell>
          <cell r="F7" t="str">
            <v>SH/MH</v>
          </cell>
          <cell r="G7" t="str">
            <v>SH22P</v>
          </cell>
          <cell r="H7" t="str">
            <v>SH22Q</v>
          </cell>
          <cell r="I7" t="str">
            <v>DRY WET</v>
          </cell>
          <cell r="J7" t="str">
            <v>WET</v>
          </cell>
          <cell r="K7"/>
          <cell r="L7"/>
          <cell r="M7"/>
          <cell r="N7"/>
        </row>
        <row r="9">
          <cell r="B9" t="str">
            <v>Õ</v>
          </cell>
          <cell r="C9" t="str">
            <v>Ö</v>
          </cell>
          <cell r="D9" t="str">
            <v>Ù</v>
          </cell>
          <cell r="E9" t="str">
            <v>Û</v>
          </cell>
        </row>
        <row r="10">
          <cell r="B10" t="str">
            <v>Dry</v>
          </cell>
          <cell r="C10" t="str">
            <v>Damp</v>
          </cell>
          <cell r="D10" t="str">
            <v>Wet</v>
          </cell>
        </row>
        <row r="11">
          <cell r="B11">
            <v>965</v>
          </cell>
        </row>
        <row r="13">
          <cell r="B13" t="str">
            <v>N</v>
          </cell>
          <cell r="C13">
            <v>1</v>
          </cell>
          <cell r="D13">
            <v>2</v>
          </cell>
          <cell r="E13">
            <v>3</v>
          </cell>
          <cell r="F13">
            <v>4</v>
          </cell>
        </row>
        <row r="14">
          <cell r="B14">
            <v>4</v>
          </cell>
        </row>
        <row r="15">
          <cell r="B15" t="str">
            <v>Qualy</v>
          </cell>
          <cell r="C15" t="str">
            <v>Race</v>
          </cell>
        </row>
        <row r="16">
          <cell r="B16">
            <v>5400</v>
          </cell>
        </row>
        <row r="17">
          <cell r="B17">
            <v>18000</v>
          </cell>
        </row>
        <row r="18">
          <cell r="B18">
            <v>2400</v>
          </cell>
        </row>
        <row r="19">
          <cell r="B19">
            <v>2400</v>
          </cell>
        </row>
        <row r="20">
          <cell r="B20">
            <v>2400</v>
          </cell>
        </row>
        <row r="21">
          <cell r="B21">
            <v>9.5</v>
          </cell>
        </row>
        <row r="23">
          <cell r="B23">
            <v>0.76500000000000001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18CB1-9948-4F74-BB4C-F3C4D833A3AC}">
  <sheetPr codeName="Feuil14">
    <tabColor rgb="FF00B050"/>
    <pageSetUpPr fitToPage="1"/>
  </sheetPr>
  <dimension ref="A1:AK80"/>
  <sheetViews>
    <sheetView tabSelected="1" zoomScaleNormal="100" workbookViewId="0"/>
  </sheetViews>
  <sheetFormatPr defaultColWidth="11.42578125" defaultRowHeight="15" x14ac:dyDescent="0.25"/>
  <cols>
    <col min="1" max="1" width="4.28515625" customWidth="1"/>
    <col min="2" max="2" width="4.42578125" bestFit="1" customWidth="1"/>
    <col min="3" max="3" width="6.5703125" bestFit="1" customWidth="1"/>
    <col min="4" max="4" width="4.85546875" bestFit="1" customWidth="1"/>
    <col min="5" max="7" width="8.5703125" customWidth="1"/>
    <col min="8" max="8" width="12.5703125" customWidth="1"/>
    <col min="9" max="10" width="8.5703125" customWidth="1"/>
    <col min="11" max="11" width="9.140625" bestFit="1" customWidth="1"/>
    <col min="12" max="14" width="8.5703125" customWidth="1"/>
    <col min="15" max="15" width="13.5703125" bestFit="1" customWidth="1"/>
    <col min="16" max="16" width="8.5703125" customWidth="1"/>
    <col min="17" max="17" width="8.5703125" hidden="1" customWidth="1"/>
    <col min="18" max="18" width="8.5703125" customWidth="1"/>
    <col min="19" max="19" width="41" customWidth="1"/>
    <col min="20" max="20" width="1.7109375" customWidth="1"/>
    <col min="21" max="25" width="7.85546875" hidden="1" customWidth="1"/>
    <col min="26" max="26" width="4" bestFit="1" customWidth="1"/>
    <col min="27" max="32" width="2.5703125" customWidth="1"/>
    <col min="33" max="33" width="4.42578125" bestFit="1" customWidth="1"/>
    <col min="34" max="34" width="56.7109375" customWidth="1"/>
  </cols>
  <sheetData>
    <row r="1" spans="1:37" ht="15.75" thickBot="1" x14ac:dyDescent="0.3">
      <c r="E1" s="156" t="s">
        <v>0</v>
      </c>
      <c r="F1" s="158" t="s">
        <v>1</v>
      </c>
      <c r="G1" s="158" t="s">
        <v>2</v>
      </c>
      <c r="H1" s="158"/>
      <c r="I1" s="159" t="s">
        <v>3</v>
      </c>
      <c r="S1" s="1" t="s">
        <v>4</v>
      </c>
      <c r="AH1" s="2" t="s">
        <v>5</v>
      </c>
    </row>
    <row r="2" spans="1:37" ht="13.5" customHeight="1" thickBot="1" x14ac:dyDescent="0.3">
      <c r="E2" s="157"/>
      <c r="F2" s="149"/>
      <c r="G2" s="3" t="s">
        <v>6</v>
      </c>
      <c r="H2" s="3" t="s">
        <v>7</v>
      </c>
      <c r="I2" s="160"/>
      <c r="K2" s="161" t="s">
        <v>8</v>
      </c>
      <c r="L2" s="162"/>
      <c r="S2" s="4"/>
      <c r="AH2" s="5"/>
    </row>
    <row r="3" spans="1:37" ht="13.5" customHeight="1" x14ac:dyDescent="0.35">
      <c r="A3" s="6"/>
      <c r="B3" s="7"/>
      <c r="C3" s="7"/>
      <c r="D3" s="8"/>
      <c r="E3" s="9" t="str">
        <f>IF([2]Resume!O3&lt;&gt;"",[2]Resume!O3,"")</f>
        <v>RD</v>
      </c>
      <c r="F3" s="10">
        <v>1.1574074074074073E-3</v>
      </c>
      <c r="G3" s="11">
        <v>3.7</v>
      </c>
      <c r="H3" s="12">
        <f>IF(G3&lt;&gt;"",G3*Density,"")</f>
        <v>2.8305000000000002</v>
      </c>
      <c r="I3" s="13"/>
      <c r="K3" s="14" t="s">
        <v>9</v>
      </c>
      <c r="L3" s="15" t="s">
        <v>10</v>
      </c>
      <c r="N3" s="16" t="s">
        <v>11</v>
      </c>
      <c r="O3" s="17" t="s">
        <v>12</v>
      </c>
      <c r="P3" s="17" t="s">
        <v>13</v>
      </c>
      <c r="S3" s="7" t="s">
        <v>14</v>
      </c>
      <c r="T3" s="18"/>
      <c r="U3" s="19"/>
      <c r="V3" s="19"/>
      <c r="W3" s="19"/>
      <c r="X3" s="18"/>
      <c r="Y3" s="18"/>
      <c r="Z3" s="18"/>
      <c r="AA3" s="18"/>
      <c r="AB3" s="18"/>
      <c r="AC3" s="18"/>
      <c r="AD3" s="18"/>
      <c r="AE3" s="18"/>
      <c r="AF3" s="18"/>
      <c r="AG3" s="20"/>
      <c r="AH3" s="20"/>
      <c r="AI3" s="20"/>
      <c r="AK3" s="20"/>
    </row>
    <row r="4" spans="1:37" ht="13.5" customHeight="1" thickBot="1" x14ac:dyDescent="0.4">
      <c r="A4" s="6"/>
      <c r="B4" s="7"/>
      <c r="C4" s="7"/>
      <c r="D4" s="8"/>
      <c r="E4" s="21"/>
      <c r="F4" s="22"/>
      <c r="G4" s="23"/>
      <c r="H4" s="24"/>
      <c r="I4" s="25"/>
      <c r="K4" s="26">
        <f>AD9+AD49</f>
        <v>88</v>
      </c>
      <c r="L4" s="27">
        <f>K4*5.71</f>
        <v>502.48</v>
      </c>
      <c r="N4" s="28">
        <v>0.01</v>
      </c>
      <c r="O4" s="29">
        <v>2.37</v>
      </c>
      <c r="P4" s="30">
        <v>5.5555555555555558E-3</v>
      </c>
      <c r="S4" s="7" t="s">
        <v>80</v>
      </c>
      <c r="T4" s="18"/>
      <c r="U4" s="19"/>
      <c r="V4" s="19"/>
      <c r="W4" s="19"/>
      <c r="X4" s="18"/>
      <c r="Y4" s="18"/>
      <c r="Z4" s="18"/>
      <c r="AA4" s="31"/>
      <c r="AB4" s="31"/>
      <c r="AC4" s="31"/>
      <c r="AD4" s="31"/>
      <c r="AE4" s="31"/>
      <c r="AF4" s="31"/>
      <c r="AG4" s="31"/>
      <c r="AH4" s="20"/>
      <c r="AI4" s="32"/>
    </row>
    <row r="5" spans="1:37" ht="13.5" customHeight="1" x14ac:dyDescent="0.35">
      <c r="A5" s="6"/>
      <c r="B5" s="7"/>
      <c r="C5" s="7"/>
      <c r="D5" s="8"/>
      <c r="E5" s="33"/>
      <c r="F5" s="22"/>
      <c r="G5" s="23"/>
      <c r="H5" s="24"/>
      <c r="I5" s="25"/>
      <c r="J5" s="7"/>
      <c r="K5" s="34" t="s">
        <v>15</v>
      </c>
      <c r="L5" s="35"/>
      <c r="N5" s="166"/>
      <c r="O5" s="166"/>
      <c r="P5" s="167"/>
      <c r="S5" s="7" t="s">
        <v>81</v>
      </c>
      <c r="T5" s="18"/>
      <c r="U5" s="19"/>
      <c r="V5" s="19"/>
      <c r="W5" s="19"/>
      <c r="X5" s="18"/>
      <c r="Y5" s="18"/>
      <c r="Z5" s="18"/>
      <c r="AA5" s="18"/>
      <c r="AB5" s="18"/>
      <c r="AC5" s="18"/>
      <c r="AD5" s="18"/>
      <c r="AE5" s="18"/>
      <c r="AF5" s="18"/>
      <c r="AG5" s="20"/>
      <c r="AH5" s="20"/>
      <c r="AI5" s="36"/>
    </row>
    <row r="6" spans="1:37" ht="13.5" customHeight="1" thickBot="1" x14ac:dyDescent="0.4">
      <c r="A6" s="6"/>
      <c r="B6" s="7"/>
      <c r="C6" s="7"/>
      <c r="D6" s="8"/>
      <c r="E6" s="37" t="str">
        <f>IF([2]Resume!O6&lt;&gt;"",[2]Resume!O6,"")</f>
        <v/>
      </c>
      <c r="F6" s="22"/>
      <c r="G6" s="23"/>
      <c r="H6" s="24" t="str">
        <f>IF(G6&lt;&gt;"",G6*Density,"")</f>
        <v/>
      </c>
      <c r="I6" s="38"/>
      <c r="J6" s="39"/>
      <c r="K6" s="26"/>
      <c r="L6" s="27"/>
      <c r="S6" s="39"/>
      <c r="T6" s="18"/>
      <c r="U6" s="19"/>
      <c r="V6" s="19"/>
      <c r="W6" s="19"/>
      <c r="X6" s="18"/>
      <c r="Y6" s="18"/>
      <c r="Z6" s="18"/>
      <c r="AA6" s="18"/>
      <c r="AB6" s="18"/>
      <c r="AC6" s="18"/>
      <c r="AD6" s="18"/>
      <c r="AE6" s="18"/>
      <c r="AF6" s="18"/>
      <c r="AG6" s="20"/>
      <c r="AH6" s="20"/>
      <c r="AI6" s="20"/>
    </row>
    <row r="7" spans="1:37" ht="13.5" customHeight="1" thickBot="1" x14ac:dyDescent="0.4">
      <c r="A7" s="6"/>
      <c r="B7" s="7"/>
      <c r="C7" s="7"/>
      <c r="D7" s="8"/>
      <c r="E7" s="40" t="str">
        <f>IF([2]Resume!O7&lt;&gt;"",[2]Resume!O7,"")</f>
        <v/>
      </c>
      <c r="F7" s="41"/>
      <c r="G7" s="42"/>
      <c r="H7" s="43" t="str">
        <f>IF(G7&lt;&gt;"",G7*Density,"")</f>
        <v/>
      </c>
      <c r="I7" s="44"/>
      <c r="J7" s="39"/>
      <c r="K7" s="31"/>
      <c r="L7" s="31"/>
      <c r="S7" s="39"/>
      <c r="T7" s="18"/>
      <c r="U7" s="19"/>
      <c r="V7" s="19"/>
      <c r="W7" s="19"/>
      <c r="X7" s="18"/>
      <c r="Y7" s="18"/>
      <c r="Z7" s="18"/>
      <c r="AA7" s="18"/>
      <c r="AB7" s="18"/>
      <c r="AC7" s="18"/>
      <c r="AD7" s="18"/>
      <c r="AE7" s="18"/>
      <c r="AF7" s="18"/>
      <c r="AG7" s="20"/>
      <c r="AH7" s="20"/>
      <c r="AI7" s="20"/>
    </row>
    <row r="8" spans="1:37" ht="13.5" customHeight="1" x14ac:dyDescent="0.35">
      <c r="A8" s="6"/>
      <c r="B8" s="7"/>
      <c r="C8" s="7"/>
      <c r="D8" s="8"/>
      <c r="E8" s="31"/>
      <c r="F8" s="31"/>
      <c r="G8" s="31"/>
      <c r="H8" s="31"/>
      <c r="I8" s="31"/>
      <c r="J8" s="31"/>
      <c r="K8" s="31"/>
      <c r="L8" s="31"/>
      <c r="M8" s="7"/>
      <c r="N8" s="7"/>
      <c r="O8" s="45"/>
      <c r="P8" s="45"/>
      <c r="Q8" s="36"/>
      <c r="R8" s="39"/>
      <c r="S8" s="39"/>
      <c r="T8" s="18"/>
      <c r="U8" s="19"/>
      <c r="V8" s="19"/>
      <c r="W8" s="19"/>
      <c r="X8" s="18"/>
      <c r="Y8" s="18"/>
      <c r="Z8" s="18"/>
      <c r="AA8" s="18"/>
      <c r="AB8" s="18"/>
      <c r="AC8" s="18"/>
      <c r="AD8" s="18"/>
      <c r="AE8" s="18"/>
      <c r="AF8" s="18"/>
      <c r="AG8" s="20"/>
      <c r="AH8" s="20"/>
      <c r="AI8" s="20"/>
    </row>
    <row r="9" spans="1:37" ht="13.5" customHeight="1" x14ac:dyDescent="0.25">
      <c r="A9" s="163" t="str">
        <f>IF([2]Resume!I15&lt;&gt;"",[2]Resume!I15,"")</f>
        <v>FP1</v>
      </c>
      <c r="B9" s="103" t="s">
        <v>16</v>
      </c>
      <c r="C9" s="103" t="s">
        <v>17</v>
      </c>
      <c r="D9" s="113" t="s">
        <v>9</v>
      </c>
      <c r="E9" s="113" t="s">
        <v>18</v>
      </c>
      <c r="F9" s="114" t="s">
        <v>19</v>
      </c>
      <c r="G9" s="103" t="s">
        <v>20</v>
      </c>
      <c r="H9" s="108" t="s">
        <v>21</v>
      </c>
      <c r="I9" s="110" t="s">
        <v>22</v>
      </c>
      <c r="J9" s="111" t="s">
        <v>23</v>
      </c>
      <c r="K9" s="112" t="s">
        <v>24</v>
      </c>
      <c r="L9" s="103" t="s">
        <v>25</v>
      </c>
      <c r="M9" s="103"/>
      <c r="N9" s="103" t="s">
        <v>26</v>
      </c>
      <c r="O9" s="103"/>
      <c r="P9" s="103"/>
      <c r="Q9" s="103"/>
      <c r="R9" s="103"/>
      <c r="S9" s="103" t="s">
        <v>27</v>
      </c>
      <c r="T9" s="18"/>
      <c r="U9" s="19"/>
      <c r="V9" s="19"/>
      <c r="W9" s="19"/>
      <c r="X9" s="18"/>
      <c r="Y9" s="18"/>
      <c r="Z9" s="104" t="s">
        <v>28</v>
      </c>
      <c r="AA9" s="104"/>
      <c r="AB9" s="104"/>
      <c r="AC9" s="104"/>
      <c r="AD9" s="105">
        <f>SUM(D11:D44)</f>
        <v>49</v>
      </c>
      <c r="AE9" s="106"/>
      <c r="AF9" s="107"/>
      <c r="AG9" s="46" t="s">
        <v>29</v>
      </c>
      <c r="AH9" s="20"/>
      <c r="AI9" s="20"/>
    </row>
    <row r="10" spans="1:37" ht="13.5" customHeight="1" thickBot="1" x14ac:dyDescent="0.3">
      <c r="A10" s="164"/>
      <c r="B10" s="149"/>
      <c r="C10" s="149"/>
      <c r="D10" s="154"/>
      <c r="E10" s="154"/>
      <c r="F10" s="155"/>
      <c r="G10" s="149"/>
      <c r="H10" s="150"/>
      <c r="I10" s="151"/>
      <c r="J10" s="152"/>
      <c r="K10" s="153"/>
      <c r="L10" s="3" t="s">
        <v>30</v>
      </c>
      <c r="M10" s="3" t="s">
        <v>31</v>
      </c>
      <c r="N10" s="3" t="s">
        <v>32</v>
      </c>
      <c r="O10" s="47" t="s">
        <v>33</v>
      </c>
      <c r="P10" s="3" t="s">
        <v>30</v>
      </c>
      <c r="Q10" s="3" t="s">
        <v>34</v>
      </c>
      <c r="R10" s="3" t="s">
        <v>31</v>
      </c>
      <c r="S10" s="149"/>
      <c r="T10" s="48"/>
      <c r="U10" s="19" t="str">
        <f>Z18</f>
        <v>RD</v>
      </c>
      <c r="V10" s="19" t="str">
        <f>Z19</f>
        <v/>
      </c>
      <c r="W10" s="19" t="str">
        <f>Z20</f>
        <v/>
      </c>
      <c r="X10" s="19" t="str">
        <f>Z21</f>
        <v/>
      </c>
      <c r="Y10" s="19" t="str">
        <f>Z22</f>
        <v/>
      </c>
      <c r="Z10" s="104" t="s">
        <v>35</v>
      </c>
      <c r="AA10" s="104"/>
      <c r="AB10" s="104"/>
      <c r="AC10" s="104"/>
      <c r="AD10" s="105">
        <f>AD9*5.7</f>
        <v>279.3</v>
      </c>
      <c r="AE10" s="106"/>
      <c r="AF10" s="107"/>
      <c r="AG10" s="46" t="s">
        <v>36</v>
      </c>
      <c r="AH10" s="20"/>
      <c r="AI10" s="20"/>
    </row>
    <row r="11" spans="1:37" ht="13.5" customHeight="1" x14ac:dyDescent="0.25">
      <c r="A11" s="164"/>
      <c r="B11" s="73">
        <f>IF(AND(C11&lt;&gt;"",D11&lt;&gt;""),1,"")</f>
        <v>1</v>
      </c>
      <c r="C11" s="49" t="s">
        <v>44</v>
      </c>
      <c r="D11" s="50">
        <v>4</v>
      </c>
      <c r="E11" s="51">
        <f t="shared" ref="E11" si="0">IF(C11="","",VLOOKUP(C11,$E$3:$F$7,2,FALSE))</f>
        <v>1.1574074074074073E-3</v>
      </c>
      <c r="F11" s="52">
        <v>0.375</v>
      </c>
      <c r="G11" s="52">
        <f>IF(AND(C11&lt;&gt;"",F11&lt;&gt;""),F11+E11*D11,"")</f>
        <v>0.37962962962962965</v>
      </c>
      <c r="H11" s="52">
        <f>IF(AND(G11&lt;&gt;"",C11&lt;&gt;""),G11-F11,"")</f>
        <v>4.6296296296296502E-3</v>
      </c>
      <c r="I11" s="52">
        <f>IF(H11&lt;&gt;"",$P$4+TIME(0,5,0),"")</f>
        <v>9.0277777777777769E-3</v>
      </c>
      <c r="J11" s="53"/>
      <c r="K11" s="54" t="b">
        <f>IF(C11="","",IF(J11&lt;&gt;"",VLOOKUP(J11,[2]Tires!$D$6:$BJ$75,4,FALSE)))</f>
        <v>0</v>
      </c>
      <c r="L11" s="54" t="b">
        <f>IF(C11="","",IF(J11&lt;&gt;"",IF(VLOOKUP(J11,[2]Tires!$D$6:$CH$75,51)&lt;&gt;"",VLOOKUP(J11,[2]Tires!$D$6:$CH$75,51),0)))</f>
        <v>0</v>
      </c>
      <c r="M11" s="54">
        <f>IF(AND(G11&lt;&gt;"",C11&lt;&gt;""),L11+D11*[2]Resume!$K$12,"")</f>
        <v>18.62</v>
      </c>
      <c r="N11" s="55">
        <v>80</v>
      </c>
      <c r="O11" s="56">
        <f>IF(N11&lt;&gt;"",IF(OR(N11="f",N11="Full"),IF([2]Resume!AS5=1,Capacity,Capacity*Density),IF(N11&lt;=IF([2]Resume!AS5=1,Capacity,Capacity*Density),N11,IF([2]Resume!AS5=1,Capacity,Capacity*Density)))/$O$4,"")</f>
        <v>33.755274261603375</v>
      </c>
      <c r="P11" s="57">
        <f>IF(N11&lt;&gt;"",IF(OR(N11="f",N11="Full"),IF([2]Resume!AS5=1,Capacity,Capacity*Density),IF(N11&lt;=IF([2]Resume!AS5=1,Capacity,Capacity*Density),N11,IF([2]Resume!AS5=1,Capacity,Capacity*Density))),"")</f>
        <v>80</v>
      </c>
      <c r="Q11" s="57">
        <f t="shared" ref="Q11:Q14" si="1">IF(C11&lt;&gt;"",D11*VLOOKUP(C11,$E$3:$H$7,4,FALSE),"")</f>
        <v>11.322000000000001</v>
      </c>
      <c r="R11" s="57">
        <f>IF(AND(C11&lt;&gt;"",D11&lt;&gt;"",P11&lt;&gt;""),IF(P11-Q11&lt;=0,0,P11-Q11),"")</f>
        <v>68.677999999999997</v>
      </c>
      <c r="S11" s="148" t="s">
        <v>53</v>
      </c>
      <c r="T11" s="18"/>
      <c r="U11" s="19">
        <f>IF(U$10&lt;&gt;"",IF($C11=U$10,$D11,""),"")</f>
        <v>4</v>
      </c>
      <c r="V11" s="19" t="str">
        <f>IF(V$10&lt;&gt;"",IF($C11=V$10,$D11,""),"")</f>
        <v/>
      </c>
      <c r="W11" s="19" t="str">
        <f>IF(W$10&lt;&gt;"",IF($C11=W$10,$D11,""),"")</f>
        <v/>
      </c>
      <c r="X11" s="19" t="str">
        <f>IF(X$10&lt;&gt;"",IF($C11=X$10,$D11,""),"")</f>
        <v/>
      </c>
      <c r="Y11" s="19" t="str">
        <f>IF(Y$10&lt;&gt;"",IF($C11=Y$10,$D11,""),"")</f>
        <v/>
      </c>
      <c r="Z11" s="18"/>
      <c r="AA11" s="18"/>
      <c r="AB11" s="18"/>
      <c r="AC11" s="18"/>
      <c r="AD11" s="18"/>
      <c r="AE11" s="18"/>
      <c r="AF11" s="18"/>
      <c r="AG11" s="20"/>
      <c r="AH11" s="20"/>
      <c r="AI11" s="20"/>
    </row>
    <row r="12" spans="1:37" ht="13.5" customHeight="1" x14ac:dyDescent="0.25">
      <c r="A12" s="164"/>
      <c r="B12" s="74"/>
      <c r="C12" s="76" t="s">
        <v>37</v>
      </c>
      <c r="D12" s="77"/>
      <c r="E12" s="77"/>
      <c r="F12" s="77"/>
      <c r="G12" s="77"/>
      <c r="H12" s="78"/>
      <c r="I12" s="79" t="s">
        <v>38</v>
      </c>
      <c r="J12" s="80"/>
      <c r="K12" s="80"/>
      <c r="L12" s="80"/>
      <c r="M12" s="81"/>
      <c r="N12" s="82" t="s">
        <v>39</v>
      </c>
      <c r="O12" s="83"/>
      <c r="P12" s="83"/>
      <c r="Q12" s="83"/>
      <c r="R12" s="84"/>
      <c r="S12" s="123"/>
      <c r="T12" s="18"/>
      <c r="U12" s="19"/>
      <c r="V12" s="19"/>
      <c r="W12" s="19"/>
      <c r="X12" s="19"/>
      <c r="Y12" s="19"/>
      <c r="AH12" s="20"/>
    </row>
    <row r="13" spans="1:37" ht="13.5" customHeight="1" x14ac:dyDescent="0.25">
      <c r="A13" s="164"/>
      <c r="B13" s="75"/>
      <c r="C13" s="131"/>
      <c r="D13" s="132"/>
      <c r="E13" s="132"/>
      <c r="F13" s="132"/>
      <c r="G13" s="132"/>
      <c r="H13" s="133"/>
      <c r="I13" s="145" t="s">
        <v>74</v>
      </c>
      <c r="J13" s="146"/>
      <c r="K13" s="146"/>
      <c r="L13" s="146"/>
      <c r="M13" s="147"/>
      <c r="N13" s="142"/>
      <c r="O13" s="143"/>
      <c r="P13" s="143"/>
      <c r="Q13" s="143"/>
      <c r="R13" s="144"/>
      <c r="S13" s="124"/>
      <c r="T13" s="18"/>
      <c r="U13" s="19"/>
      <c r="V13" s="19"/>
      <c r="W13" s="19"/>
      <c r="X13" s="19"/>
      <c r="Y13" s="19"/>
      <c r="AH13" s="20"/>
    </row>
    <row r="14" spans="1:37" ht="13.5" customHeight="1" x14ac:dyDescent="0.25">
      <c r="A14" s="164"/>
      <c r="B14" s="73">
        <f>IF(AND(C14&lt;&gt;"",D14&lt;&gt;""),B11+1,"")</f>
        <v>2</v>
      </c>
      <c r="C14" s="49" t="s">
        <v>44</v>
      </c>
      <c r="D14" s="50">
        <v>5</v>
      </c>
      <c r="E14" s="51">
        <f>IF(C14="","",VLOOKUP(C14,$E$3:$F$7,2,FALSE))</f>
        <v>1.1574074074074073E-3</v>
      </c>
      <c r="F14" s="52">
        <f>IF(AND(G11&lt;&gt;"",C14&lt;&gt;""),G11+I11,"")</f>
        <v>0.38865740740740745</v>
      </c>
      <c r="G14" s="52">
        <f t="shared" ref="G14" si="2">IF(AND(C14&lt;&gt;"",F14&lt;&gt;""),F14+E14*D14,"")</f>
        <v>0.39444444444444449</v>
      </c>
      <c r="H14" s="52">
        <f t="shared" ref="H14" si="3">IF(AND(G14&lt;&gt;"",C14&lt;&gt;""),G14-F14,"")</f>
        <v>5.787037037037035E-3</v>
      </c>
      <c r="I14" s="52">
        <f>IF(H14&lt;&gt;"",$P$4+TIME(0,0,0),"")</f>
        <v>5.5555555555555558E-3</v>
      </c>
      <c r="J14" s="53"/>
      <c r="K14" s="54" t="b">
        <f>IF(C14="","",IF(J14&lt;&gt;"",VLOOKUP(J14,[2]Tires!$D$6:$BJ$75,4,FALSE),K11))</f>
        <v>0</v>
      </c>
      <c r="L14" s="54">
        <f>IF(C14="","",IF(J14&lt;&gt;"",IF(VLOOKUP(J14,[2]Tires!$D$6:$CH$75,51)&lt;&gt;"",VLOOKUP(J14,[2]Tires!$D$6:$CH$75,51),0),M11))</f>
        <v>18.62</v>
      </c>
      <c r="M14" s="54">
        <f>IF(AND(G14&lt;&gt;"",C14&lt;&gt;""),L14+D14*[2]Resume!$K$12,"")</f>
        <v>41.895000000000003</v>
      </c>
      <c r="N14" s="55"/>
      <c r="O14" s="56" t="str">
        <f>IF(AND(N14&lt;&gt;"",R11&lt;&gt;""),IF(OR(N14="f",N14="Full"),IF([2]Resume!$AS$5=1,Capacity,Capacity*Density)-R11,IF(N14&lt;=IF([2]Resume!$AS$5=1,Capacity,Capacity*Density),N14,IF([2]Resume!$AS$5=1,Capacity,Capacity*Density)))/$O$4,"")</f>
        <v/>
      </c>
      <c r="P14" s="57">
        <f>R11+N14</f>
        <v>68.677999999999997</v>
      </c>
      <c r="Q14" s="57">
        <f t="shared" si="1"/>
        <v>14.152500000000002</v>
      </c>
      <c r="R14" s="57">
        <f>IF(AND(C14&lt;&gt;"",D14&lt;&gt;"",P14&lt;&gt;""),IF(P14-Q14&lt;=0,0,P14-Q14),"")</f>
        <v>54.525499999999994</v>
      </c>
      <c r="S14" s="122" t="s">
        <v>73</v>
      </c>
      <c r="T14" s="18"/>
      <c r="U14" s="19">
        <f>IF(U$10&lt;&gt;"",IF($C14=U$10,$D14,""),"")</f>
        <v>5</v>
      </c>
      <c r="V14" s="19" t="str">
        <f>IF(V$10&lt;&gt;"",IF($C14=V$10,$D14,""),"")</f>
        <v/>
      </c>
      <c r="W14" s="19" t="str">
        <f>IF(W$10&lt;&gt;"",IF($C14=W$10,$D14,""),"")</f>
        <v/>
      </c>
      <c r="X14" s="19" t="str">
        <f>IF(X$10&lt;&gt;"",IF($C14=X$10,$D14,""),"")</f>
        <v/>
      </c>
      <c r="Y14" s="19" t="str">
        <f>IF(Y$10&lt;&gt;"",IF($C14=Y$10,$D14,""),"")</f>
        <v/>
      </c>
      <c r="AA14" s="116"/>
      <c r="AB14" s="117"/>
      <c r="AC14" s="117"/>
      <c r="AD14" s="117"/>
      <c r="AE14" s="117"/>
      <c r="AF14" s="118"/>
      <c r="AH14" s="58" t="s">
        <v>40</v>
      </c>
    </row>
    <row r="15" spans="1:37" ht="13.5" customHeight="1" x14ac:dyDescent="0.25">
      <c r="A15" s="164"/>
      <c r="B15" s="74"/>
      <c r="C15" s="76" t="s">
        <v>37</v>
      </c>
      <c r="D15" s="77"/>
      <c r="E15" s="77"/>
      <c r="F15" s="77"/>
      <c r="G15" s="77"/>
      <c r="H15" s="78"/>
      <c r="I15" s="79" t="s">
        <v>38</v>
      </c>
      <c r="J15" s="80"/>
      <c r="K15" s="80"/>
      <c r="L15" s="80"/>
      <c r="M15" s="81"/>
      <c r="N15" s="82" t="s">
        <v>39</v>
      </c>
      <c r="O15" s="83"/>
      <c r="P15" s="83"/>
      <c r="Q15" s="83"/>
      <c r="R15" s="84"/>
      <c r="S15" s="123"/>
      <c r="T15" s="18"/>
      <c r="U15" s="19"/>
      <c r="V15" s="19"/>
      <c r="W15" s="19"/>
      <c r="X15" s="19"/>
      <c r="Y15" s="19"/>
      <c r="AA15" s="119"/>
      <c r="AB15" s="120"/>
      <c r="AC15" s="120"/>
      <c r="AD15" s="120"/>
      <c r="AE15" s="120"/>
      <c r="AF15" s="121"/>
      <c r="AH15" s="165" t="s">
        <v>79</v>
      </c>
    </row>
    <row r="16" spans="1:37" ht="13.5" customHeight="1" x14ac:dyDescent="0.25">
      <c r="A16" s="164"/>
      <c r="B16" s="75"/>
      <c r="C16" s="131"/>
      <c r="D16" s="132"/>
      <c r="E16" s="132"/>
      <c r="F16" s="132"/>
      <c r="G16" s="132"/>
      <c r="H16" s="133"/>
      <c r="I16" s="145" t="s">
        <v>55</v>
      </c>
      <c r="J16" s="146"/>
      <c r="K16" s="146"/>
      <c r="L16" s="146"/>
      <c r="M16" s="147"/>
      <c r="N16" s="142" t="s">
        <v>69</v>
      </c>
      <c r="O16" s="143"/>
      <c r="P16" s="143"/>
      <c r="Q16" s="143"/>
      <c r="R16" s="144"/>
      <c r="S16" s="124"/>
      <c r="T16" s="18"/>
      <c r="U16" s="19"/>
      <c r="V16" s="19"/>
      <c r="W16" s="19"/>
      <c r="X16" s="19"/>
      <c r="Y16" s="19"/>
      <c r="AH16" s="20" t="s">
        <v>76</v>
      </c>
    </row>
    <row r="17" spans="1:34" ht="13.5" customHeight="1" x14ac:dyDescent="0.25">
      <c r="A17" s="164"/>
      <c r="B17" s="73">
        <f>IF(AND(C17&lt;&gt;"",D17&lt;&gt;""),B14+1,"")</f>
        <v>3</v>
      </c>
      <c r="C17" s="49" t="s">
        <v>44</v>
      </c>
      <c r="D17" s="50">
        <v>5</v>
      </c>
      <c r="E17" s="51">
        <f>IF(C17="","",VLOOKUP(C17,$E$3:$F$7,2,FALSE))</f>
        <v>1.1574074074074073E-3</v>
      </c>
      <c r="F17" s="52">
        <f>IF(AND(G14&lt;&gt;"",C17&lt;&gt;""),G14+I14,"")</f>
        <v>0.4</v>
      </c>
      <c r="G17" s="52">
        <f t="shared" ref="G17" si="4">IF(AND(C17&lt;&gt;"",F17&lt;&gt;""),F17+E17*D17,"")</f>
        <v>0.40578703703703706</v>
      </c>
      <c r="H17" s="52">
        <f t="shared" ref="H17" si="5">IF(AND(G17&lt;&gt;"",C17&lt;&gt;""),G17-F17,"")</f>
        <v>5.787037037037035E-3</v>
      </c>
      <c r="I17" s="52">
        <f>IF(H17&lt;&gt;"",$P$4-TIME(0,0,0),"")</f>
        <v>5.5555555555555558E-3</v>
      </c>
      <c r="J17" s="53"/>
      <c r="K17" s="54" t="b">
        <f>IF(C17="","",IF(J17&lt;&gt;"",VLOOKUP(J17,[2]Tires!$D$6:$BJ$75,4,FALSE),K14))</f>
        <v>0</v>
      </c>
      <c r="L17" s="54">
        <f>IF(C17="","",IF(J17&lt;&gt;"",IF(VLOOKUP(J17,[2]Tires!$D$6:$CH$75,51)&lt;&gt;"",VLOOKUP(J17,[2]Tires!$D$6:$CH$75,51),0),M14))</f>
        <v>41.895000000000003</v>
      </c>
      <c r="M17" s="54">
        <f>IF(AND(G17&lt;&gt;"",C17&lt;&gt;""),L17+D17*[2]Resume!$K$12,"")</f>
        <v>65.17</v>
      </c>
      <c r="N17" s="55">
        <v>30</v>
      </c>
      <c r="O17" s="56">
        <f>IF(AND(N17&lt;&gt;"",R14&lt;&gt;""),IF(OR(N17="f",N17="Full"),IF([2]Resume!$AS$5=1,Capacity,Capacity*Density)-R14,IF(N17&lt;=IF([2]Resume!$AS$5=1,Capacity,Capacity*Density),N17,IF([2]Resume!$AS$5=1,Capacity,Capacity*Density)))/$O$4,"")</f>
        <v>12.658227848101266</v>
      </c>
      <c r="P17" s="57">
        <f>R14+N17</f>
        <v>84.525499999999994</v>
      </c>
      <c r="Q17" s="57">
        <f t="shared" ref="Q17" si="6">IF(C17&lt;&gt;"",D17*VLOOKUP(C17,$E$3:$H$7,4,FALSE),"")</f>
        <v>14.152500000000002</v>
      </c>
      <c r="R17" s="57">
        <f t="shared" ref="R17" si="7">IF(AND(C17&lt;&gt;"",D17&lt;&gt;"",P17&lt;&gt;""),IF(P17-Q17&lt;=0,0,P17-Q17),"")</f>
        <v>70.37299999999999</v>
      </c>
      <c r="S17" s="122" t="s">
        <v>57</v>
      </c>
      <c r="T17" s="18"/>
      <c r="U17" s="19">
        <f>IF(U$10&lt;&gt;"",IF($C17=U$10,$D17,""),"")</f>
        <v>5</v>
      </c>
      <c r="V17" s="19" t="str">
        <f>IF(V$10&lt;&gt;"",IF($C17=V$10,$D17,""),"")</f>
        <v/>
      </c>
      <c r="W17" s="19" t="str">
        <f>IF(W$10&lt;&gt;"",IF($C17=W$10,$D17,""),"")</f>
        <v/>
      </c>
      <c r="X17" s="19" t="str">
        <f>IF(X$10&lt;&gt;"",IF($C17=X$10,$D17,""),"")</f>
        <v/>
      </c>
      <c r="Y17" s="19" t="str">
        <f>IF(Y$10&lt;&gt;"",IF($C17=Y$10,$D17,""),"")</f>
        <v/>
      </c>
      <c r="Z17" s="97" t="str">
        <f>IF([2]Resume!O15&lt;&gt;"",[2]Resume!O15,"")</f>
        <v>FP1</v>
      </c>
      <c r="AA17" s="98"/>
      <c r="AB17" s="98"/>
      <c r="AC17" s="99"/>
      <c r="AD17" s="97" t="s">
        <v>41</v>
      </c>
      <c r="AE17" s="98"/>
      <c r="AF17" s="99"/>
      <c r="AG17" s="59"/>
      <c r="AH17" s="20" t="s">
        <v>77</v>
      </c>
    </row>
    <row r="18" spans="1:34" ht="13.5" customHeight="1" x14ac:dyDescent="0.25">
      <c r="A18" s="164"/>
      <c r="B18" s="74"/>
      <c r="C18" s="76" t="s">
        <v>37</v>
      </c>
      <c r="D18" s="77"/>
      <c r="E18" s="77"/>
      <c r="F18" s="77"/>
      <c r="G18" s="77"/>
      <c r="H18" s="78"/>
      <c r="I18" s="79" t="s">
        <v>38</v>
      </c>
      <c r="J18" s="80"/>
      <c r="K18" s="80"/>
      <c r="L18" s="80"/>
      <c r="M18" s="81"/>
      <c r="N18" s="82" t="s">
        <v>39</v>
      </c>
      <c r="O18" s="83"/>
      <c r="P18" s="83"/>
      <c r="Q18" s="83"/>
      <c r="R18" s="84"/>
      <c r="S18" s="123"/>
      <c r="T18" s="18"/>
      <c r="U18" s="19"/>
      <c r="V18" s="19"/>
      <c r="W18" s="19"/>
      <c r="X18" s="19"/>
      <c r="Y18" s="19"/>
      <c r="Z18" s="60" t="str">
        <f>IF($E$3&lt;&gt;"",$E$3,"")</f>
        <v>RD</v>
      </c>
      <c r="AA18" s="94"/>
      <c r="AB18" s="95"/>
      <c r="AC18" s="96"/>
      <c r="AD18" s="94"/>
      <c r="AE18" s="95"/>
      <c r="AF18" s="96"/>
      <c r="AG18" s="46" t="s">
        <v>29</v>
      </c>
      <c r="AH18" s="20" t="s">
        <v>78</v>
      </c>
    </row>
    <row r="19" spans="1:34" ht="13.5" customHeight="1" x14ac:dyDescent="0.25">
      <c r="A19" s="164"/>
      <c r="B19" s="75"/>
      <c r="C19" s="131" t="s">
        <v>54</v>
      </c>
      <c r="D19" s="132"/>
      <c r="E19" s="132"/>
      <c r="F19" s="132"/>
      <c r="G19" s="132"/>
      <c r="H19" s="133"/>
      <c r="I19" s="145" t="s">
        <v>66</v>
      </c>
      <c r="J19" s="146"/>
      <c r="K19" s="146"/>
      <c r="L19" s="146"/>
      <c r="M19" s="147"/>
      <c r="N19" s="142" t="s">
        <v>47</v>
      </c>
      <c r="O19" s="143"/>
      <c r="P19" s="143"/>
      <c r="Q19" s="143"/>
      <c r="R19" s="144"/>
      <c r="S19" s="124"/>
      <c r="T19" s="18"/>
      <c r="U19" s="19"/>
      <c r="V19" s="19"/>
      <c r="W19" s="19"/>
      <c r="X19" s="19"/>
      <c r="Y19" s="19"/>
      <c r="Z19" s="61" t="str">
        <f>IF($E$4&lt;&gt;"",$E$4,"")</f>
        <v/>
      </c>
      <c r="AA19" s="94" t="str">
        <f>IF(Z19&lt;&gt;"",IF(SUM(U48:Y48)&lt;&gt;0,V48,V49),"")</f>
        <v/>
      </c>
      <c r="AB19" s="95"/>
      <c r="AC19" s="96"/>
      <c r="AD19" s="94" t="str">
        <f>AA19</f>
        <v/>
      </c>
      <c r="AE19" s="95"/>
      <c r="AF19" s="96"/>
      <c r="AG19" s="46" t="s">
        <v>29</v>
      </c>
      <c r="AH19" s="20"/>
    </row>
    <row r="20" spans="1:34" s="18" customFormat="1" ht="13.5" customHeight="1" x14ac:dyDescent="0.2">
      <c r="A20" s="164"/>
      <c r="B20" s="73">
        <f t="shared" ref="B20" si="8">IF(AND(C20&lt;&gt;"",D20&lt;&gt;""),B17+1,"")</f>
        <v>4</v>
      </c>
      <c r="C20" s="49" t="s">
        <v>44</v>
      </c>
      <c r="D20" s="50">
        <v>5</v>
      </c>
      <c r="E20" s="51">
        <f>IF(C20="","",VLOOKUP(C20,$E$3:$F$7,2,FALSE))</f>
        <v>1.1574074074074073E-3</v>
      </c>
      <c r="F20" s="52">
        <f>IF(AND(G17&lt;&gt;"",C20&lt;&gt;""),G17+I17,"")</f>
        <v>0.41134259259259259</v>
      </c>
      <c r="G20" s="52">
        <f t="shared" ref="G20" si="9">IF(AND(C20&lt;&gt;"",F20&lt;&gt;""),F20+E20*D20,"")</f>
        <v>0.41712962962962963</v>
      </c>
      <c r="H20" s="52">
        <f t="shared" ref="H20" si="10">IF(AND(G20&lt;&gt;"",C20&lt;&gt;""),G20-F20,"")</f>
        <v>5.787037037037035E-3</v>
      </c>
      <c r="I20" s="52">
        <f>IF(H20&lt;&gt;"",$P$4+TIME(0,0,0),"")</f>
        <v>5.5555555555555558E-3</v>
      </c>
      <c r="J20" s="53"/>
      <c r="K20" s="54" t="b">
        <f>IF(C20="","",IF(J20&lt;&gt;"",VLOOKUP(J20,[2]Tires!$D$6:$BJ$75,4,FALSE),K17))</f>
        <v>0</v>
      </c>
      <c r="L20" s="54">
        <f>IF(C20="","",IF(J20&lt;&gt;"",IF(VLOOKUP(J20,[2]Tires!$D$6:$CH$75,51)&lt;&gt;"",VLOOKUP(J20,[2]Tires!$D$6:$CH$75,51),0),M17))</f>
        <v>65.17</v>
      </c>
      <c r="M20" s="54">
        <f>IF(AND(G20&lt;&gt;"",C20&lt;&gt;""),L20+D20*[2]Resume!$K$12,"")</f>
        <v>88.445000000000007</v>
      </c>
      <c r="N20" s="55"/>
      <c r="O20" s="56" t="str">
        <f>IF(AND(N20&lt;&gt;"",R17&lt;&gt;""),IF(OR(N20="f",N20="Full"),IF([2]Resume!$AS$5=1,Capacity,Capacity*Density)-R17,IF(N20&lt;=IF([2]Resume!$AS$5=1,Capacity,Capacity*Density),N20,IF([2]Resume!$AS$5=1,Capacity,Capacity*Density)))/$O$4,"")</f>
        <v/>
      </c>
      <c r="P20" s="57">
        <f>R17+N20</f>
        <v>70.37299999999999</v>
      </c>
      <c r="Q20" s="57">
        <f t="shared" ref="Q20" si="11">IF(C20&lt;&gt;"",D20*VLOOKUP(C20,$E$3:$H$7,4,FALSE),"")</f>
        <v>14.152500000000002</v>
      </c>
      <c r="R20" s="57">
        <f>IF(AND(C20&lt;&gt;"",D20&lt;&gt;"",P20&lt;&gt;""),IF(P20-Q20&lt;=0,0,P20-Q20),"")</f>
        <v>56.220499999999987</v>
      </c>
      <c r="S20" s="122" t="s">
        <v>65</v>
      </c>
      <c r="U20" s="19">
        <f>IF(U$10&lt;&gt;"",IF($C20=U$10,$D20,""),"")</f>
        <v>5</v>
      </c>
      <c r="V20" s="19" t="str">
        <f>IF(V$10&lt;&gt;"",IF($C20=V$10,$D20,""),"")</f>
        <v/>
      </c>
      <c r="W20" s="19" t="str">
        <f>IF(W$10&lt;&gt;"",IF($C20=W$10,$D20,""),"")</f>
        <v/>
      </c>
      <c r="X20" s="19" t="str">
        <f>IF(X$10&lt;&gt;"",IF($C20=X$10,$D20,""),"")</f>
        <v/>
      </c>
      <c r="Y20" s="19" t="str">
        <f>IF(Y$10&lt;&gt;"",IF($C20=Y$10,$D20,""),"")</f>
        <v/>
      </c>
      <c r="Z20" s="62" t="str">
        <f>IF($E$5&lt;&gt;"",$E$5,"")</f>
        <v/>
      </c>
      <c r="AA20" s="94" t="str">
        <f>IF(Z20&lt;&gt;"",IF(SUM(U48:Y48)&lt;&gt;0,W48,W49),"")</f>
        <v/>
      </c>
      <c r="AB20" s="95"/>
      <c r="AC20" s="96"/>
      <c r="AD20" s="94" t="str">
        <f>AA20</f>
        <v/>
      </c>
      <c r="AE20" s="95"/>
      <c r="AF20" s="96"/>
      <c r="AG20" s="46" t="s">
        <v>29</v>
      </c>
      <c r="AH20" s="20"/>
    </row>
    <row r="21" spans="1:34" s="18" customFormat="1" ht="13.5" customHeight="1" x14ac:dyDescent="0.2">
      <c r="A21" s="164"/>
      <c r="B21" s="74"/>
      <c r="C21" s="76" t="s">
        <v>37</v>
      </c>
      <c r="D21" s="77"/>
      <c r="E21" s="77"/>
      <c r="F21" s="77"/>
      <c r="G21" s="77"/>
      <c r="H21" s="78"/>
      <c r="I21" s="79" t="s">
        <v>38</v>
      </c>
      <c r="J21" s="80"/>
      <c r="K21" s="80"/>
      <c r="L21" s="80"/>
      <c r="M21" s="81"/>
      <c r="N21" s="82" t="s">
        <v>39</v>
      </c>
      <c r="O21" s="83"/>
      <c r="P21" s="83"/>
      <c r="Q21" s="83"/>
      <c r="R21" s="84"/>
      <c r="S21" s="123"/>
      <c r="U21" s="19"/>
      <c r="V21" s="19"/>
      <c r="W21" s="19"/>
      <c r="X21" s="19"/>
      <c r="Y21" s="19"/>
      <c r="Z21" s="63" t="str">
        <f>IF($E$6&lt;&gt;"",$E$6,"")</f>
        <v/>
      </c>
      <c r="AA21" s="94" t="str">
        <f>IF(Z21&lt;&gt;"",IF(SUM(U48:Y48)&lt;&gt;0,X48,X49),"")</f>
        <v/>
      </c>
      <c r="AB21" s="95"/>
      <c r="AC21" s="96"/>
      <c r="AD21" s="94" t="str">
        <f>AA21</f>
        <v/>
      </c>
      <c r="AE21" s="95"/>
      <c r="AF21" s="96"/>
      <c r="AG21" s="46" t="s">
        <v>29</v>
      </c>
      <c r="AH21" s="20"/>
    </row>
    <row r="22" spans="1:34" s="18" customFormat="1" ht="13.5" customHeight="1" x14ac:dyDescent="0.2">
      <c r="A22" s="164"/>
      <c r="B22" s="75"/>
      <c r="C22" s="131" t="s">
        <v>50</v>
      </c>
      <c r="D22" s="132"/>
      <c r="E22" s="132"/>
      <c r="F22" s="132"/>
      <c r="G22" s="132"/>
      <c r="H22" s="133"/>
      <c r="I22" s="145" t="s">
        <v>66</v>
      </c>
      <c r="J22" s="146"/>
      <c r="K22" s="146"/>
      <c r="L22" s="146"/>
      <c r="M22" s="147"/>
      <c r="N22" s="142" t="s">
        <v>47</v>
      </c>
      <c r="O22" s="143"/>
      <c r="P22" s="143"/>
      <c r="Q22" s="143"/>
      <c r="R22" s="144"/>
      <c r="S22" s="124"/>
      <c r="U22" s="19"/>
      <c r="V22" s="19"/>
      <c r="W22" s="19"/>
      <c r="X22" s="19"/>
      <c r="Y22" s="19"/>
      <c r="Z22" s="64" t="str">
        <f>IF($E$7&lt;&gt;"",$E$7,"")</f>
        <v/>
      </c>
      <c r="AA22" s="94" t="str">
        <f>IF(Z22&lt;&gt;"",IF(SUM(U48:Y48)&lt;&gt;0,Y48,Y49),"")</f>
        <v/>
      </c>
      <c r="AB22" s="95"/>
      <c r="AC22" s="96"/>
      <c r="AD22" s="94" t="str">
        <f>AA22</f>
        <v/>
      </c>
      <c r="AE22" s="95"/>
      <c r="AF22" s="96"/>
      <c r="AG22" s="46" t="s">
        <v>29</v>
      </c>
      <c r="AH22" s="20"/>
    </row>
    <row r="23" spans="1:34" s="18" customFormat="1" ht="13.5" customHeight="1" x14ac:dyDescent="0.2">
      <c r="A23" s="164"/>
      <c r="B23" s="73">
        <f t="shared" ref="B23" si="12">IF(AND(C23&lt;&gt;"",D23&lt;&gt;""),B20+1,"")</f>
        <v>5</v>
      </c>
      <c r="C23" s="49" t="s">
        <v>44</v>
      </c>
      <c r="D23" s="50">
        <v>5</v>
      </c>
      <c r="E23" s="51">
        <f>IF(C23="","",VLOOKUP(C23,$E$3:$F$7,2,FALSE))</f>
        <v>1.1574074074074073E-3</v>
      </c>
      <c r="F23" s="52">
        <f>IF(AND(G20&lt;&gt;"",C23&lt;&gt;""),G20+I20,"")</f>
        <v>0.42268518518518516</v>
      </c>
      <c r="G23" s="52">
        <f t="shared" ref="G23" si="13">IF(AND(C23&lt;&gt;"",F23&lt;&gt;""),F23+E23*D23,"")</f>
        <v>0.4284722222222222</v>
      </c>
      <c r="H23" s="52">
        <f t="shared" ref="H23" si="14">IF(AND(G23&lt;&gt;"",C23&lt;&gt;""),G23-F23,"")</f>
        <v>5.787037037037035E-3</v>
      </c>
      <c r="I23" s="52">
        <f>IF(H23&lt;&gt;"",$P$4+TIME(0,2,0),"")</f>
        <v>6.9444444444444449E-3</v>
      </c>
      <c r="J23" s="53"/>
      <c r="K23" s="54" t="b">
        <f>IF(C23="","",IF(J23&lt;&gt;"",VLOOKUP(J23,[2]Tires!$D$6:$BJ$75,4,FALSE),K20))</f>
        <v>0</v>
      </c>
      <c r="L23" s="54">
        <f>IF(C23="","",IF(J23&lt;&gt;"",IF(VLOOKUP(J23,[2]Tires!$D$6:$CH$75,51)&lt;&gt;"",VLOOKUP(J23,[2]Tires!$D$6:$CH$75,51),0),M20))</f>
        <v>88.445000000000007</v>
      </c>
      <c r="M23" s="54">
        <f>IF(AND(G23&lt;&gt;"",C23&lt;&gt;""),L23+D23*[2]Resume!$K$12,"")</f>
        <v>111.72000000000001</v>
      </c>
      <c r="N23" s="55">
        <v>30</v>
      </c>
      <c r="O23" s="56">
        <f>IF(AND(N23&lt;&gt;"",R20&lt;&gt;""),IF(OR(N23="f",N23="Full"),IF([2]Resume!$AS$5=1,Capacity,Capacity*Density)-R20,IF(N23&lt;=IF([2]Resume!$AS$5=1,Capacity,Capacity*Density),N23,IF([2]Resume!$AS$5=1,Capacity,Capacity*Density)))/$O$4,"")</f>
        <v>12.658227848101266</v>
      </c>
      <c r="P23" s="57">
        <f>R20+N23</f>
        <v>86.220499999999987</v>
      </c>
      <c r="Q23" s="57">
        <f t="shared" ref="Q23" si="15">IF(C23&lt;&gt;"",D23*VLOOKUP(C23,$E$3:$H$7,4,FALSE),"")</f>
        <v>14.152500000000002</v>
      </c>
      <c r="R23" s="57">
        <f t="shared" ref="R23" si="16">IF(AND(C23&lt;&gt;"",D23&lt;&gt;"",P23&lt;&gt;""),IF(P23-Q23&lt;=0,0,P23-Q23),"")</f>
        <v>72.067999999999984</v>
      </c>
      <c r="S23" s="122" t="s">
        <v>65</v>
      </c>
      <c r="U23" s="19">
        <f>IF(U$10&lt;&gt;"",IF($C23=U$10,$D23,""),"")</f>
        <v>5</v>
      </c>
      <c r="V23" s="19" t="str">
        <f>IF(V$10&lt;&gt;"",IF($C23=V$10,$D23,""),"")</f>
        <v/>
      </c>
      <c r="W23" s="19" t="str">
        <f>IF(W$10&lt;&gt;"",IF($C23=W$10,$D23,""),"")</f>
        <v/>
      </c>
      <c r="X23" s="19" t="str">
        <f>IF(X$10&lt;&gt;"",IF($C23=X$10,$D23,""),"")</f>
        <v/>
      </c>
      <c r="Y23" s="19" t="str">
        <f>IF(Y$10&lt;&gt;"",IF($C23=Y$10,$D23,""),"")</f>
        <v/>
      </c>
      <c r="AG23" s="20"/>
      <c r="AH23" s="20"/>
    </row>
    <row r="24" spans="1:34" s="18" customFormat="1" ht="13.5" customHeight="1" x14ac:dyDescent="0.2">
      <c r="A24" s="164"/>
      <c r="B24" s="74"/>
      <c r="C24" s="76" t="s">
        <v>37</v>
      </c>
      <c r="D24" s="77"/>
      <c r="E24" s="77"/>
      <c r="F24" s="77"/>
      <c r="G24" s="77"/>
      <c r="H24" s="78"/>
      <c r="I24" s="79" t="s">
        <v>38</v>
      </c>
      <c r="J24" s="80"/>
      <c r="K24" s="80"/>
      <c r="L24" s="80"/>
      <c r="M24" s="81"/>
      <c r="N24" s="82" t="s">
        <v>39</v>
      </c>
      <c r="O24" s="83"/>
      <c r="P24" s="83"/>
      <c r="Q24" s="83"/>
      <c r="R24" s="84"/>
      <c r="S24" s="123"/>
      <c r="U24" s="19"/>
      <c r="V24" s="19"/>
      <c r="W24" s="19"/>
      <c r="X24" s="19"/>
      <c r="Y24" s="19"/>
      <c r="AG24" s="20"/>
      <c r="AH24" s="65" t="s">
        <v>42</v>
      </c>
    </row>
    <row r="25" spans="1:34" s="18" customFormat="1" ht="13.5" customHeight="1" x14ac:dyDescent="0.2">
      <c r="A25" s="164"/>
      <c r="B25" s="75"/>
      <c r="C25" s="131" t="s">
        <v>51</v>
      </c>
      <c r="D25" s="132"/>
      <c r="E25" s="132"/>
      <c r="F25" s="132"/>
      <c r="G25" s="132"/>
      <c r="H25" s="133"/>
      <c r="I25" s="145" t="s">
        <v>66</v>
      </c>
      <c r="J25" s="146"/>
      <c r="K25" s="146"/>
      <c r="L25" s="146"/>
      <c r="M25" s="147"/>
      <c r="N25" s="142" t="s">
        <v>47</v>
      </c>
      <c r="O25" s="143"/>
      <c r="P25" s="143"/>
      <c r="Q25" s="143"/>
      <c r="R25" s="144"/>
      <c r="S25" s="124"/>
      <c r="U25" s="19"/>
      <c r="V25" s="19"/>
      <c r="W25" s="19"/>
      <c r="X25" s="19"/>
      <c r="Y25" s="19"/>
      <c r="AG25" s="20"/>
      <c r="AH25" s="20"/>
    </row>
    <row r="26" spans="1:34" s="18" customFormat="1" ht="13.5" customHeight="1" x14ac:dyDescent="0.2">
      <c r="A26" s="164"/>
      <c r="B26" s="73">
        <f t="shared" ref="B26" si="17">IF(AND(C26&lt;&gt;"",D26&lt;&gt;""),B23+1,"")</f>
        <v>6</v>
      </c>
      <c r="C26" s="49" t="s">
        <v>44</v>
      </c>
      <c r="D26" s="50">
        <v>5</v>
      </c>
      <c r="E26" s="51">
        <f>IF(C26="","",VLOOKUP(C26,$E$3:$F$7,2,FALSE))</f>
        <v>1.1574074074074073E-3</v>
      </c>
      <c r="F26" s="52">
        <f>IF(AND(G23&lt;&gt;"",C26&lt;&gt;""),G23+I23,"")</f>
        <v>0.43541666666666662</v>
      </c>
      <c r="G26" s="52">
        <f t="shared" ref="G26" si="18">IF(AND(C26&lt;&gt;"",F26&lt;&gt;""),F26+E26*D26,"")</f>
        <v>0.44120370370370365</v>
      </c>
      <c r="H26" s="52">
        <f t="shared" ref="H26" si="19">IF(AND(G26&lt;&gt;"",C26&lt;&gt;""),G26-F26,"")</f>
        <v>5.787037037037035E-3</v>
      </c>
      <c r="I26" s="52">
        <f>IF(H26&lt;&gt;"",$P$4-TIME(0,0,0),"")</f>
        <v>5.5555555555555558E-3</v>
      </c>
      <c r="J26" s="53"/>
      <c r="K26" s="54" t="b">
        <f>IF(C26="","",IF(J26&lt;&gt;"",VLOOKUP(J26,[2]Tires!$D$6:$BJ$75,4,FALSE),K23))</f>
        <v>0</v>
      </c>
      <c r="L26" s="54">
        <f>IF(C26="","",IF(J26&lt;&gt;"",IF(VLOOKUP(J26,[2]Tires!$D$6:$CH$75,51)&lt;&gt;"",VLOOKUP(J26,[2]Tires!$D$6:$CH$75,51),0),M23))</f>
        <v>111.72000000000001</v>
      </c>
      <c r="M26" s="54">
        <f>IF(AND(G26&lt;&gt;"",C26&lt;&gt;""),L26+D26*[2]Resume!$K$12,"")</f>
        <v>134.995</v>
      </c>
      <c r="N26" s="55"/>
      <c r="O26" s="56" t="str">
        <f>IF(AND(N26&lt;&gt;"",R23&lt;&gt;""),IF(OR(N26="f",N26="Full"),IF([2]Resume!$AS$5=1,Capacity,Capacity*Density)-R23,IF(N26&lt;=IF([2]Resume!$AS$5=1,Capacity,Capacity*Density),N26,IF([2]Resume!$AS$5=1,Capacity,Capacity*Density)))/$O$4,"")</f>
        <v/>
      </c>
      <c r="P26" s="57">
        <f>R23+N26</f>
        <v>72.067999999999984</v>
      </c>
      <c r="Q26" s="57">
        <f t="shared" ref="Q26" si="20">IF(C26&lt;&gt;"",D26*VLOOKUP(C26,$E$3:$H$7,4,FALSE),"")</f>
        <v>14.152500000000002</v>
      </c>
      <c r="R26" s="57">
        <f t="shared" ref="R26" si="21">IF(AND(C26&lt;&gt;"",D26&lt;&gt;"",P26&lt;&gt;""),IF(P26-Q26&lt;=0,0,P26-Q26),"")</f>
        <v>57.91549999999998</v>
      </c>
      <c r="S26" s="122" t="s">
        <v>59</v>
      </c>
      <c r="U26" s="19">
        <f>IF(U$10&lt;&gt;"",IF($C26=U$10,$D26,""),"")</f>
        <v>5</v>
      </c>
      <c r="V26" s="19" t="str">
        <f>IF(V$10&lt;&gt;"",IF($C26=V$10,$D26,""),"")</f>
        <v/>
      </c>
      <c r="W26" s="19" t="str">
        <f>IF(W$10&lt;&gt;"",IF($C26=W$10,$D26,""),"")</f>
        <v/>
      </c>
      <c r="X26" s="19" t="str">
        <f>IF(X$10&lt;&gt;"",IF($C26=X$10,$D26,""),"")</f>
        <v/>
      </c>
      <c r="Y26" s="19" t="str">
        <f>IF(Y$10&lt;&gt;"",IF($C26=Y$10,$D26,""),"")</f>
        <v/>
      </c>
      <c r="AG26" s="20"/>
      <c r="AH26" s="20"/>
    </row>
    <row r="27" spans="1:34" s="18" customFormat="1" ht="13.5" customHeight="1" x14ac:dyDescent="0.2">
      <c r="A27" s="164"/>
      <c r="B27" s="74"/>
      <c r="C27" s="76" t="s">
        <v>37</v>
      </c>
      <c r="D27" s="77"/>
      <c r="E27" s="77"/>
      <c r="F27" s="77"/>
      <c r="G27" s="77"/>
      <c r="H27" s="78"/>
      <c r="I27" s="79" t="s">
        <v>38</v>
      </c>
      <c r="J27" s="80"/>
      <c r="K27" s="80"/>
      <c r="L27" s="80"/>
      <c r="M27" s="81"/>
      <c r="N27" s="82" t="s">
        <v>39</v>
      </c>
      <c r="O27" s="83"/>
      <c r="P27" s="83"/>
      <c r="Q27" s="83"/>
      <c r="R27" s="84"/>
      <c r="S27" s="123"/>
      <c r="U27" s="19"/>
      <c r="V27" s="19"/>
      <c r="W27" s="19"/>
      <c r="X27" s="19"/>
      <c r="Y27" s="19"/>
      <c r="AG27" s="20"/>
      <c r="AH27" s="20"/>
    </row>
    <row r="28" spans="1:34" s="18" customFormat="1" ht="13.5" customHeight="1" x14ac:dyDescent="0.2">
      <c r="A28" s="164"/>
      <c r="B28" s="75"/>
      <c r="C28" s="131" t="s">
        <v>52</v>
      </c>
      <c r="D28" s="132"/>
      <c r="E28" s="132"/>
      <c r="F28" s="132"/>
      <c r="G28" s="132"/>
      <c r="H28" s="133"/>
      <c r="I28" s="145" t="s">
        <v>67</v>
      </c>
      <c r="J28" s="146"/>
      <c r="K28" s="146"/>
      <c r="L28" s="146"/>
      <c r="M28" s="147"/>
      <c r="N28" s="142" t="s">
        <v>48</v>
      </c>
      <c r="O28" s="143"/>
      <c r="P28" s="143"/>
      <c r="Q28" s="143"/>
      <c r="R28" s="144"/>
      <c r="S28" s="124"/>
      <c r="U28" s="19"/>
      <c r="V28" s="19"/>
      <c r="W28" s="19"/>
      <c r="X28" s="19"/>
      <c r="Y28" s="19"/>
      <c r="AG28" s="20"/>
      <c r="AH28" s="20"/>
    </row>
    <row r="29" spans="1:34" s="18" customFormat="1" ht="13.5" customHeight="1" x14ac:dyDescent="0.2">
      <c r="A29" s="164"/>
      <c r="B29" s="73">
        <f t="shared" ref="B29:B38" si="22">IF(AND(C29&lt;&gt;"",D29&lt;&gt;""),B26+1,"")</f>
        <v>7</v>
      </c>
      <c r="C29" s="49" t="s">
        <v>44</v>
      </c>
      <c r="D29" s="50">
        <v>5</v>
      </c>
      <c r="E29" s="51">
        <f>IF(C29="","",VLOOKUP(C29,$E$3:$F$7,2,FALSE))</f>
        <v>1.1574074074074073E-3</v>
      </c>
      <c r="F29" s="52">
        <f>IF(AND(G26&lt;&gt;"",C29&lt;&gt;""),G26+I26,"")</f>
        <v>0.44675925925925919</v>
      </c>
      <c r="G29" s="52">
        <f t="shared" ref="G29" si="23">IF(AND(C29&lt;&gt;"",F29&lt;&gt;""),F29+E29*D29,"")</f>
        <v>0.45254629629629622</v>
      </c>
      <c r="H29" s="52">
        <f t="shared" ref="H29" si="24">IF(AND(G29&lt;&gt;"",C29&lt;&gt;""),G29-F29,"")</f>
        <v>5.787037037037035E-3</v>
      </c>
      <c r="I29" s="52">
        <f>IF(H29&lt;&gt;"",$P$4+TIME(0,2,0),"")</f>
        <v>6.9444444444444449E-3</v>
      </c>
      <c r="J29" s="53"/>
      <c r="K29" s="54" t="b">
        <f>IF(C29="","",IF(J29&lt;&gt;"",VLOOKUP(J29,[2]Tires!$D$6:$BJ$75,4,FALSE),K26))</f>
        <v>0</v>
      </c>
      <c r="L29" s="54">
        <f>IF(C29="","",IF(J29&lt;&gt;"",IF(VLOOKUP(J29,[2]Tires!$D$6:$CH$75,51)&lt;&gt;"",VLOOKUP(J29,[2]Tires!$D$6:$CH$75,51),0),M26))</f>
        <v>134.995</v>
      </c>
      <c r="M29" s="54">
        <f>IF(AND(G29&lt;&gt;"",C29&lt;&gt;""),L29+D29*[2]Resume!$K$12,"")</f>
        <v>158.27000000000001</v>
      </c>
      <c r="N29" s="55"/>
      <c r="O29" s="56" t="str">
        <f>IF(AND(N29&lt;&gt;"",R26&lt;&gt;""),IF(OR(N29="f",N29="Full"),IF([2]Resume!$AS$5=1,Capacity,Capacity*Density)-R26,IF(N29&lt;=IF([2]Resume!$AS$5=1,Capacity,Capacity*Density),N29,IF([2]Resume!$AS$5=1,Capacity,Capacity*Density)))/$O$4,"")</f>
        <v/>
      </c>
      <c r="P29" s="57">
        <f>R26+N29</f>
        <v>57.91549999999998</v>
      </c>
      <c r="Q29" s="57">
        <f t="shared" ref="Q29" si="25">IF(C29&lt;&gt;"",D29*VLOOKUP(C29,$E$3:$H$7,4,FALSE),"")</f>
        <v>14.152500000000002</v>
      </c>
      <c r="R29" s="57">
        <f t="shared" ref="R29" si="26">IF(AND(C29&lt;&gt;"",D29&lt;&gt;"",P29&lt;&gt;""),IF(P29-Q29&lt;=0,0,P29-Q29),"")</f>
        <v>43.762999999999977</v>
      </c>
      <c r="S29" s="122" t="s">
        <v>58</v>
      </c>
      <c r="U29" s="19">
        <f>IF(U$10&lt;&gt;"",IF($C29=U$10,$D29,""),"")</f>
        <v>5</v>
      </c>
      <c r="V29" s="19" t="str">
        <f>IF(V$10&lt;&gt;"",IF($C29=V$10,$D29,""),"")</f>
        <v/>
      </c>
      <c r="W29" s="19" t="str">
        <f>IF(W$10&lt;&gt;"",IF($C29=W$10,$D29,""),"")</f>
        <v/>
      </c>
      <c r="X29" s="19" t="str">
        <f>IF(X$10&lt;&gt;"",IF($C29=X$10,$D29,""),"")</f>
        <v/>
      </c>
      <c r="Y29" s="19" t="str">
        <f>IF(Y$10&lt;&gt;"",IF($C29=Y$10,$D29,""),"")</f>
        <v/>
      </c>
      <c r="AG29" s="20"/>
    </row>
    <row r="30" spans="1:34" s="18" customFormat="1" ht="13.5" customHeight="1" x14ac:dyDescent="0.2">
      <c r="A30" s="164"/>
      <c r="B30" s="74"/>
      <c r="C30" s="76" t="s">
        <v>37</v>
      </c>
      <c r="D30" s="77"/>
      <c r="E30" s="77"/>
      <c r="F30" s="77"/>
      <c r="G30" s="77"/>
      <c r="H30" s="78"/>
      <c r="I30" s="79" t="s">
        <v>38</v>
      </c>
      <c r="J30" s="80"/>
      <c r="K30" s="80"/>
      <c r="L30" s="80"/>
      <c r="M30" s="81"/>
      <c r="N30" s="82" t="s">
        <v>39</v>
      </c>
      <c r="O30" s="83"/>
      <c r="P30" s="83"/>
      <c r="Q30" s="83"/>
      <c r="R30" s="84"/>
      <c r="S30" s="123"/>
      <c r="U30" s="19"/>
      <c r="V30" s="19"/>
      <c r="W30" s="19"/>
      <c r="X30" s="19"/>
      <c r="Y30" s="19"/>
      <c r="AG30" s="20"/>
      <c r="AH30" s="66" t="s">
        <v>43</v>
      </c>
    </row>
    <row r="31" spans="1:34" s="18" customFormat="1" ht="13.5" customHeight="1" x14ac:dyDescent="0.2">
      <c r="A31" s="164"/>
      <c r="B31" s="75"/>
      <c r="C31" s="131" t="s">
        <v>49</v>
      </c>
      <c r="D31" s="132"/>
      <c r="E31" s="132"/>
      <c r="F31" s="132"/>
      <c r="G31" s="132"/>
      <c r="H31" s="133"/>
      <c r="I31" s="145" t="s">
        <v>67</v>
      </c>
      <c r="J31" s="146"/>
      <c r="K31" s="146"/>
      <c r="L31" s="146"/>
      <c r="M31" s="147"/>
      <c r="N31" s="142" t="s">
        <v>48</v>
      </c>
      <c r="O31" s="143"/>
      <c r="P31" s="143"/>
      <c r="Q31" s="143"/>
      <c r="R31" s="144"/>
      <c r="S31" s="124"/>
      <c r="U31" s="19"/>
      <c r="V31" s="19"/>
      <c r="W31" s="19"/>
      <c r="X31" s="19"/>
      <c r="Y31" s="19"/>
      <c r="AG31" s="20"/>
      <c r="AH31" s="20"/>
    </row>
    <row r="32" spans="1:34" s="18" customFormat="1" ht="13.5" customHeight="1" x14ac:dyDescent="0.2">
      <c r="A32" s="164"/>
      <c r="B32" s="73">
        <f t="shared" si="22"/>
        <v>8</v>
      </c>
      <c r="C32" s="49" t="s">
        <v>44</v>
      </c>
      <c r="D32" s="50">
        <v>5</v>
      </c>
      <c r="E32" s="51">
        <f>IF(C32="","",VLOOKUP(C32,$E$3:$F$7,2,FALSE))</f>
        <v>1.1574074074074073E-3</v>
      </c>
      <c r="F32" s="52">
        <f>IF(AND(G29&lt;&gt;"",C32&lt;&gt;""),G29+I29,"")</f>
        <v>0.45949074074074064</v>
      </c>
      <c r="G32" s="52">
        <f t="shared" ref="G32" si="27">IF(AND(C32&lt;&gt;"",F32&lt;&gt;""),F32+E32*D32,"")</f>
        <v>0.46527777777777768</v>
      </c>
      <c r="H32" s="52">
        <f t="shared" ref="H32" si="28">IF(AND(G32&lt;&gt;"",C32&lt;&gt;""),G32-F32,"")</f>
        <v>5.787037037037035E-3</v>
      </c>
      <c r="I32" s="52">
        <f>IF(H32&lt;&gt;"",$P$4+TIME(0,0,0),"")</f>
        <v>5.5555555555555558E-3</v>
      </c>
      <c r="J32" s="53"/>
      <c r="K32" s="54" t="b">
        <f>IF(C32="","",IF(J32&lt;&gt;"",VLOOKUP(J32,[2]Tires!$D$6:$BJ$75,4,FALSE),K29))</f>
        <v>0</v>
      </c>
      <c r="L32" s="54">
        <f>IF(C32="","",IF(J32&lt;&gt;"",IF(VLOOKUP(J32,[2]Tires!$D$6:$CH$75,51)&lt;&gt;"",VLOOKUP(J32,[2]Tires!$D$6:$CH$75,51),0),M29))</f>
        <v>158.27000000000001</v>
      </c>
      <c r="M32" s="54">
        <f>IF(AND(G32&lt;&gt;"",C32&lt;&gt;""),L32+D32*[2]Resume!$K$12,"")</f>
        <v>181.54500000000002</v>
      </c>
      <c r="N32" s="55"/>
      <c r="O32" s="56" t="str">
        <f>IF(AND(N32&lt;&gt;"",R29&lt;&gt;""),IF(OR(N32="f",N32="Full"),IF([2]Resume!$AS$5=1,Capacity,Capacity*Density)-R29,IF(N32&lt;=IF([2]Resume!$AS$5=1,Capacity,Capacity*Density),N32,IF([2]Resume!$AS$5=1,Capacity,Capacity*Density)))/$O$4,"")</f>
        <v/>
      </c>
      <c r="P32" s="57">
        <f>R29+N32</f>
        <v>43.762999999999977</v>
      </c>
      <c r="Q32" s="57">
        <f t="shared" ref="Q32" si="29">IF(C32&lt;&gt;"",D32*VLOOKUP(C32,$E$3:$H$7,4,FALSE),"")</f>
        <v>14.152500000000002</v>
      </c>
      <c r="R32" s="57">
        <f t="shared" ref="R32" si="30">IF(AND(C32&lt;&gt;"",D32&lt;&gt;"",P32&lt;&gt;""),IF(P32-Q32&lt;=0,0,P32-Q32),"")</f>
        <v>29.610499999999973</v>
      </c>
      <c r="S32" s="122" t="s">
        <v>60</v>
      </c>
      <c r="U32" s="19">
        <f>IF(U$10&lt;&gt;"",IF($C32=U$10,$D32,""),"")</f>
        <v>5</v>
      </c>
      <c r="V32" s="19" t="str">
        <f>IF(V$10&lt;&gt;"",IF($C32=V$10,$D32,""),"")</f>
        <v/>
      </c>
      <c r="W32" s="19" t="str">
        <f>IF(W$10&lt;&gt;"",IF($C32=W$10,$D32,""),"")</f>
        <v/>
      </c>
      <c r="X32" s="19" t="str">
        <f>IF(X$10&lt;&gt;"",IF($C32=X$10,$D32,""),"")</f>
        <v/>
      </c>
      <c r="Y32" s="19" t="str">
        <f>IF(Y$10&lt;&gt;"",IF($C32=Y$10,$D32,""),"")</f>
        <v/>
      </c>
      <c r="AG32" s="20"/>
      <c r="AH32" s="20"/>
    </row>
    <row r="33" spans="1:34" ht="13.5" customHeight="1" x14ac:dyDescent="0.25">
      <c r="A33" s="164"/>
      <c r="B33" s="74"/>
      <c r="C33" s="76" t="s">
        <v>37</v>
      </c>
      <c r="D33" s="77"/>
      <c r="E33" s="77"/>
      <c r="F33" s="77"/>
      <c r="G33" s="77"/>
      <c r="H33" s="78"/>
      <c r="I33" s="79" t="s">
        <v>38</v>
      </c>
      <c r="J33" s="80"/>
      <c r="K33" s="80"/>
      <c r="L33" s="80"/>
      <c r="M33" s="81"/>
      <c r="N33" s="82" t="s">
        <v>39</v>
      </c>
      <c r="O33" s="83"/>
      <c r="P33" s="83"/>
      <c r="Q33" s="83"/>
      <c r="R33" s="84"/>
      <c r="S33" s="123"/>
      <c r="T33" s="18"/>
      <c r="U33" s="19"/>
      <c r="V33" s="19"/>
      <c r="W33" s="19"/>
      <c r="X33" s="19"/>
      <c r="Y33" s="19"/>
      <c r="Z33" s="18"/>
      <c r="AA33" s="18"/>
      <c r="AB33" s="18"/>
      <c r="AC33" s="18"/>
      <c r="AD33" s="18"/>
      <c r="AE33" s="18"/>
      <c r="AF33" s="18"/>
      <c r="AG33" s="20"/>
      <c r="AH33" s="20"/>
    </row>
    <row r="34" spans="1:34" ht="13.5" customHeight="1" x14ac:dyDescent="0.25">
      <c r="A34" s="164"/>
      <c r="B34" s="75"/>
      <c r="C34" s="131" t="s">
        <v>61</v>
      </c>
      <c r="D34" s="132"/>
      <c r="E34" s="132"/>
      <c r="F34" s="132"/>
      <c r="G34" s="132"/>
      <c r="H34" s="133"/>
      <c r="I34" s="145" t="s">
        <v>67</v>
      </c>
      <c r="J34" s="146"/>
      <c r="K34" s="146"/>
      <c r="L34" s="146"/>
      <c r="M34" s="147"/>
      <c r="N34" s="142" t="s">
        <v>56</v>
      </c>
      <c r="O34" s="143"/>
      <c r="P34" s="143"/>
      <c r="Q34" s="143"/>
      <c r="R34" s="144"/>
      <c r="S34" s="124"/>
      <c r="T34" s="18"/>
      <c r="U34" s="19"/>
      <c r="V34" s="19"/>
      <c r="W34" s="19"/>
      <c r="X34" s="19"/>
      <c r="Y34" s="19"/>
      <c r="Z34" s="18"/>
      <c r="AA34" s="18"/>
      <c r="AB34" s="18"/>
      <c r="AC34" s="18"/>
      <c r="AD34" s="18"/>
      <c r="AE34" s="18"/>
      <c r="AF34" s="18"/>
      <c r="AG34" s="20"/>
      <c r="AH34" s="20"/>
    </row>
    <row r="35" spans="1:34" s="18" customFormat="1" ht="13.5" customHeight="1" x14ac:dyDescent="0.2">
      <c r="A35" s="164"/>
      <c r="B35" s="73">
        <f t="shared" si="22"/>
        <v>9</v>
      </c>
      <c r="C35" s="49" t="s">
        <v>44</v>
      </c>
      <c r="D35" s="50">
        <v>5</v>
      </c>
      <c r="E35" s="51">
        <f>IF(C35="","",VLOOKUP(C35,$E$3:$F$7,2,FALSE))</f>
        <v>1.1574074074074073E-3</v>
      </c>
      <c r="F35" s="52">
        <f>IF(AND(G32&lt;&gt;"",C35&lt;&gt;""),G32+I32,"")</f>
        <v>0.47083333333333321</v>
      </c>
      <c r="G35" s="52">
        <f t="shared" ref="G35" si="31">IF(AND(C35&lt;&gt;"",F35&lt;&gt;""),F35+E35*D35,"")</f>
        <v>0.47662037037037025</v>
      </c>
      <c r="H35" s="52">
        <f t="shared" ref="H35" si="32">IF(AND(G35&lt;&gt;"",C35&lt;&gt;""),G35-F35,"")</f>
        <v>5.787037037037035E-3</v>
      </c>
      <c r="I35" s="52">
        <f>IF(H35&lt;&gt;"",$P$4+TIME(0,0,0),"")</f>
        <v>5.5555555555555558E-3</v>
      </c>
      <c r="J35" s="53"/>
      <c r="K35" s="54" t="b">
        <f>IF(C35="","",IF(J35&lt;&gt;"",VLOOKUP(J35,[2]Tires!$D$6:$BJ$75,4,FALSE),K32))</f>
        <v>0</v>
      </c>
      <c r="L35" s="54">
        <f>IF(C35="","",IF(J35&lt;&gt;"",IF(VLOOKUP(J35,[2]Tires!$D$6:$CH$75,51)&lt;&gt;"",VLOOKUP(J35,[2]Tires!$D$6:$CH$75,51),0),M32))</f>
        <v>181.54500000000002</v>
      </c>
      <c r="M35" s="54">
        <f>IF(AND(G35&lt;&gt;"",C35&lt;&gt;""),L35+D35*[2]Resume!$K$12,"")</f>
        <v>204.82000000000002</v>
      </c>
      <c r="N35" s="55"/>
      <c r="O35" s="56" t="str">
        <f>IF(AND(N35&lt;&gt;"",R32&lt;&gt;""),IF(OR(N35="f",N35="Full"),IF([2]Resume!$AS$5=1,Capacity,Capacity*Density)-R32,IF(N35&lt;=IF([2]Resume!$AS$5=1,Capacity,Capacity*Density),N35,IF([2]Resume!$AS$5=1,Capacity,Capacity*Density)))/$O$4,"")</f>
        <v/>
      </c>
      <c r="P35" s="57">
        <f>R32+N35</f>
        <v>29.610499999999973</v>
      </c>
      <c r="Q35" s="57">
        <f t="shared" ref="Q35" si="33">IF(C35&lt;&gt;"",D35*VLOOKUP(C35,$E$3:$H$7,4,FALSE),"")</f>
        <v>14.152500000000002</v>
      </c>
      <c r="R35" s="57">
        <f t="shared" ref="R35" si="34">IF(AND(C35&lt;&gt;"",D35&lt;&gt;"",P35&lt;&gt;""),IF(P35-Q35&lt;=0,0,P35-Q35),"")</f>
        <v>15.457999999999972</v>
      </c>
      <c r="S35" s="122" t="s">
        <v>64</v>
      </c>
      <c r="U35" s="19">
        <f>IF(U$10&lt;&gt;"",IF($C35=U$10,$D35,""),"")</f>
        <v>5</v>
      </c>
      <c r="V35" s="19" t="str">
        <f>IF(V$10&lt;&gt;"",IF($C35=V$10,$D35,""),"")</f>
        <v/>
      </c>
      <c r="W35" s="19" t="str">
        <f>IF(W$10&lt;&gt;"",IF($C35=W$10,$D35,""),"")</f>
        <v/>
      </c>
      <c r="X35" s="19" t="str">
        <f>IF(X$10&lt;&gt;"",IF($C35=X$10,$D35,""),"")</f>
        <v/>
      </c>
      <c r="Y35" s="19" t="str">
        <f>IF(Y$10&lt;&gt;"",IF($C35=Y$10,$D35,""),"")</f>
        <v/>
      </c>
      <c r="AG35" s="20"/>
      <c r="AH35" s="20"/>
    </row>
    <row r="36" spans="1:34" ht="13.5" customHeight="1" x14ac:dyDescent="0.25">
      <c r="A36" s="164"/>
      <c r="B36" s="74"/>
      <c r="C36" s="76" t="s">
        <v>37</v>
      </c>
      <c r="D36" s="77"/>
      <c r="E36" s="77"/>
      <c r="F36" s="77"/>
      <c r="G36" s="77"/>
      <c r="H36" s="78"/>
      <c r="I36" s="79" t="s">
        <v>38</v>
      </c>
      <c r="J36" s="80"/>
      <c r="K36" s="80"/>
      <c r="L36" s="80"/>
      <c r="M36" s="81"/>
      <c r="N36" s="82" t="s">
        <v>39</v>
      </c>
      <c r="O36" s="83"/>
      <c r="P36" s="83"/>
      <c r="Q36" s="83"/>
      <c r="R36" s="84"/>
      <c r="S36" s="123"/>
      <c r="T36" s="18"/>
      <c r="U36" s="19"/>
      <c r="V36" s="19"/>
      <c r="W36" s="19"/>
      <c r="X36" s="19"/>
      <c r="Y36" s="19"/>
      <c r="Z36" s="18"/>
      <c r="AA36" s="18"/>
      <c r="AB36" s="18"/>
      <c r="AC36" s="18"/>
      <c r="AD36" s="18"/>
      <c r="AE36" s="18"/>
      <c r="AF36" s="18"/>
      <c r="AG36" s="20"/>
      <c r="AH36" s="20"/>
    </row>
    <row r="37" spans="1:34" ht="13.5" customHeight="1" x14ac:dyDescent="0.25">
      <c r="A37" s="164"/>
      <c r="B37" s="75"/>
      <c r="C37" s="131" t="s">
        <v>62</v>
      </c>
      <c r="D37" s="132"/>
      <c r="E37" s="132"/>
      <c r="F37" s="132"/>
      <c r="G37" s="132"/>
      <c r="H37" s="133"/>
      <c r="I37" s="145" t="s">
        <v>67</v>
      </c>
      <c r="J37" s="146"/>
      <c r="K37" s="146"/>
      <c r="L37" s="146"/>
      <c r="M37" s="147"/>
      <c r="N37" s="142" t="s">
        <v>56</v>
      </c>
      <c r="O37" s="143"/>
      <c r="P37" s="143"/>
      <c r="Q37" s="143"/>
      <c r="R37" s="144"/>
      <c r="S37" s="124"/>
      <c r="T37" s="18"/>
      <c r="U37" s="19"/>
      <c r="V37" s="19"/>
      <c r="W37" s="19"/>
      <c r="X37" s="19"/>
      <c r="Y37" s="19"/>
      <c r="Z37" s="18"/>
      <c r="AA37" s="18"/>
      <c r="AB37" s="18"/>
      <c r="AC37" s="18"/>
      <c r="AD37" s="18"/>
      <c r="AE37" s="18"/>
      <c r="AF37" s="18"/>
      <c r="AG37" s="20"/>
    </row>
    <row r="38" spans="1:34" ht="13.5" customHeight="1" x14ac:dyDescent="0.25">
      <c r="A38" s="164"/>
      <c r="B38" s="73">
        <f t="shared" si="22"/>
        <v>10</v>
      </c>
      <c r="C38" s="49" t="s">
        <v>44</v>
      </c>
      <c r="D38" s="50">
        <v>5</v>
      </c>
      <c r="E38" s="51">
        <f>IF(C38="","",VLOOKUP(C38,$E$3:$F$7,2,FALSE))</f>
        <v>1.1574074074074073E-3</v>
      </c>
      <c r="F38" s="52">
        <f>IF(AND(G35&lt;&gt;"",C38&lt;&gt;""),G35+I35,"")</f>
        <v>0.48217592592592579</v>
      </c>
      <c r="G38" s="52">
        <f t="shared" ref="G38" si="35">IF(AND(C38&lt;&gt;"",F38&lt;&gt;""),F38+E38*D38,"")</f>
        <v>0.48796296296296282</v>
      </c>
      <c r="H38" s="52">
        <f t="shared" ref="H38" si="36">IF(AND(G38&lt;&gt;"",C38&lt;&gt;""),G38-F38,"")</f>
        <v>5.787037037037035E-3</v>
      </c>
      <c r="I38" s="52">
        <f>IF(H38&lt;&gt;"",$P$4+TIME(0,0,0),"")</f>
        <v>5.5555555555555558E-3</v>
      </c>
      <c r="J38" s="53"/>
      <c r="K38" s="54" t="b">
        <f>IF(C38="","",IF(J38&lt;&gt;"",VLOOKUP(J38,[2]Tires!$D$6:$BJ$75,4,FALSE),K35))</f>
        <v>0</v>
      </c>
      <c r="L38" s="54">
        <f>IF(C38="","",IF(J38&lt;&gt;"",IF(VLOOKUP(J38,[2]Tires!$D$6:$CH$75,51)&lt;&gt;"",VLOOKUP(J38,[2]Tires!$D$6:$CH$75,51),0),M35))</f>
        <v>204.82000000000002</v>
      </c>
      <c r="M38" s="54">
        <f>IF(AND(G38&lt;&gt;"",C38&lt;&gt;""),L38+D38*[2]Resume!$K$12,"")</f>
        <v>228.09500000000003</v>
      </c>
      <c r="N38" s="55"/>
      <c r="O38" s="56" t="str">
        <f>IF(AND(N38&lt;&gt;"",R35&lt;&gt;""),IF(OR(N38="f",N38="Full"),IF([2]Resume!$AS$5=1,Capacity,Capacity*Density)-R35,IF(N38&lt;=IF([2]Resume!$AS$5=1,Capacity,Capacity*Density),N38,IF([2]Resume!$AS$5=1,Capacity,Capacity*Density)))/$O$4,"")</f>
        <v/>
      </c>
      <c r="P38" s="57">
        <f>R35+N38</f>
        <v>15.457999999999972</v>
      </c>
      <c r="Q38" s="57">
        <f t="shared" ref="Q38" si="37">IF(C38&lt;&gt;"",D38*VLOOKUP(C38,$E$3:$H$7,4,FALSE),"")</f>
        <v>14.152500000000002</v>
      </c>
      <c r="R38" s="57">
        <f t="shared" ref="R38" si="38">IF(AND(C38&lt;&gt;"",D38&lt;&gt;"",P38&lt;&gt;""),IF(P38-Q38&lt;=0,0,P38-Q38),"")</f>
        <v>1.3054999999999701</v>
      </c>
      <c r="S38" s="122" t="s">
        <v>85</v>
      </c>
      <c r="T38" s="18"/>
      <c r="U38" s="19">
        <f>IF(U$10&lt;&gt;"",IF($C38=U$10,$D38,""),"")</f>
        <v>5</v>
      </c>
      <c r="V38" s="19" t="str">
        <f>IF(V$10&lt;&gt;"",IF($C38=V$10,$D38,""),"")</f>
        <v/>
      </c>
      <c r="W38" s="19" t="str">
        <f>IF(W$10&lt;&gt;"",IF($C38=W$10,$D38,""),"")</f>
        <v/>
      </c>
      <c r="X38" s="19" t="str">
        <f>IF(X$10&lt;&gt;"",IF($C38=X$10,$D38,""),"")</f>
        <v/>
      </c>
      <c r="Y38" s="19" t="str">
        <f>IF(Y$10&lt;&gt;"",IF($C38=Y$10,$D38,""),"")</f>
        <v/>
      </c>
      <c r="Z38" s="18"/>
      <c r="AA38" s="18"/>
      <c r="AB38" s="18"/>
      <c r="AC38" s="18"/>
      <c r="AD38" s="18"/>
      <c r="AE38" s="18"/>
      <c r="AF38" s="18"/>
      <c r="AG38" s="20"/>
    </row>
    <row r="39" spans="1:34" ht="13.5" customHeight="1" x14ac:dyDescent="0.25">
      <c r="A39" s="164"/>
      <c r="B39" s="74"/>
      <c r="C39" s="76" t="s">
        <v>37</v>
      </c>
      <c r="D39" s="77"/>
      <c r="E39" s="77"/>
      <c r="F39" s="77"/>
      <c r="G39" s="77"/>
      <c r="H39" s="78"/>
      <c r="I39" s="79" t="s">
        <v>38</v>
      </c>
      <c r="J39" s="80"/>
      <c r="K39" s="80"/>
      <c r="L39" s="80"/>
      <c r="M39" s="81"/>
      <c r="N39" s="82" t="s">
        <v>39</v>
      </c>
      <c r="O39" s="83"/>
      <c r="P39" s="83"/>
      <c r="Q39" s="83"/>
      <c r="R39" s="84"/>
      <c r="S39" s="123"/>
      <c r="T39" s="18"/>
      <c r="U39" s="19"/>
      <c r="V39" s="19"/>
      <c r="W39" s="19"/>
      <c r="X39" s="19"/>
      <c r="Y39" s="19"/>
      <c r="Z39" s="18"/>
      <c r="AA39" s="18"/>
      <c r="AB39" s="18"/>
      <c r="AC39" s="18"/>
      <c r="AD39" s="18"/>
      <c r="AE39" s="18"/>
      <c r="AF39" s="18"/>
      <c r="AG39" s="20"/>
    </row>
    <row r="40" spans="1:34" ht="13.5" customHeight="1" x14ac:dyDescent="0.25">
      <c r="A40" s="164"/>
      <c r="B40" s="75"/>
      <c r="C40" s="131" t="s">
        <v>63</v>
      </c>
      <c r="D40" s="132"/>
      <c r="E40" s="132"/>
      <c r="F40" s="132"/>
      <c r="G40" s="132"/>
      <c r="H40" s="133"/>
      <c r="I40" s="139"/>
      <c r="J40" s="140"/>
      <c r="K40" s="140"/>
      <c r="L40" s="140"/>
      <c r="M40" s="141"/>
      <c r="N40" s="142"/>
      <c r="O40" s="143"/>
      <c r="P40" s="143"/>
      <c r="Q40" s="143"/>
      <c r="R40" s="144"/>
      <c r="S40" s="124"/>
      <c r="T40" s="18"/>
      <c r="U40" s="19"/>
      <c r="V40" s="19"/>
      <c r="W40" s="19"/>
      <c r="X40" s="19"/>
      <c r="Y40" s="19"/>
      <c r="Z40" s="18"/>
      <c r="AA40" s="18"/>
      <c r="AB40" s="18"/>
      <c r="AC40" s="18"/>
      <c r="AD40" s="18"/>
      <c r="AE40" s="18"/>
      <c r="AF40" s="18"/>
      <c r="AG40" s="20"/>
    </row>
    <row r="41" spans="1:34" ht="13.5" customHeight="1" x14ac:dyDescent="0.25">
      <c r="A41" s="164"/>
      <c r="B41" s="73" t="str">
        <f t="shared" ref="B41" si="39">IF(AND(C41&lt;&gt;"",D41&lt;&gt;""),B38+1,"")</f>
        <v/>
      </c>
      <c r="C41" s="49"/>
      <c r="D41" s="50"/>
      <c r="E41" s="51" t="str">
        <f>IF(C41="","",VLOOKUP(C41,$E$3:$F$7,2,FALSE))</f>
        <v/>
      </c>
      <c r="F41" s="52" t="str">
        <f>IF(AND(G38&lt;&gt;"",C41&lt;&gt;""),G38+I38,"")</f>
        <v/>
      </c>
      <c r="G41" s="52" t="str">
        <f t="shared" ref="G41" si="40">IF(AND(C41&lt;&gt;"",F41&lt;&gt;""),F41+E41*D41,"")</f>
        <v/>
      </c>
      <c r="H41" s="52" t="str">
        <f t="shared" ref="H41" si="41">IF(AND(G41&lt;&gt;"",C41&lt;&gt;""),G41-F41,"")</f>
        <v/>
      </c>
      <c r="I41" s="52" t="str">
        <f>IF(H41&lt;&gt;"",$P$4+TIME(0,0,0),"")</f>
        <v/>
      </c>
      <c r="J41" s="53"/>
      <c r="K41" s="54" t="str">
        <f>IF(C41="","",IF(J41&lt;&gt;"",VLOOKUP(J41,[2]Tires!$D$6:$BJ$75,4,FALSE),K38))</f>
        <v/>
      </c>
      <c r="L41" s="54" t="str">
        <f>IF(C41="","",IF(J41&lt;&gt;"",IF(VLOOKUP(J41,[2]Tires!$D$6:$CH$75,51)&lt;&gt;"",VLOOKUP(J41,[2]Tires!$D$6:$CH$75,51),0),M38))</f>
        <v/>
      </c>
      <c r="M41" s="54" t="str">
        <f>IF(AND(G41&lt;&gt;"",C41&lt;&gt;""),L41+D41*[2]Resume!$K$12,"")</f>
        <v/>
      </c>
      <c r="N41" s="55"/>
      <c r="O41" s="56" t="str">
        <f>IF(AND(N41&lt;&gt;"",R38&lt;&gt;""),IF(OR(N41="f",N41="Full"),IF([2]Resume!$AS$5=1,Capacity,Capacity*Density)-R38,IF(N41&lt;=IF([2]Resume!$AS$5=1,Capacity,Capacity*Density),N41,IF([2]Resume!$AS$5=1,Capacity,Capacity*Density)))/$O$4,"")</f>
        <v/>
      </c>
      <c r="P41" s="57">
        <f>R38+N41</f>
        <v>1.3054999999999701</v>
      </c>
      <c r="Q41" s="57" t="str">
        <f t="shared" ref="Q41" si="42">IF(C41&lt;&gt;"",D41*VLOOKUP(C41,$E$3:$H$7,4,FALSE),"")</f>
        <v/>
      </c>
      <c r="R41" s="57" t="str">
        <f t="shared" ref="R41" si="43">IF(AND(C41&lt;&gt;"",D41&lt;&gt;"",P41&lt;&gt;""),IF(P41-Q41&lt;=0,0,P41-Q41),"")</f>
        <v/>
      </c>
      <c r="S41" s="125"/>
      <c r="T41" s="18"/>
      <c r="U41" s="19" t="str">
        <f>IF(U$10&lt;&gt;"",IF($C41=U$10,$D41,""),"")</f>
        <v/>
      </c>
      <c r="V41" s="19" t="str">
        <f>IF(V$10&lt;&gt;"",IF($C41=V$10,$D41,""),"")</f>
        <v/>
      </c>
      <c r="W41" s="19" t="str">
        <f>IF(W$10&lt;&gt;"",IF($C41=W$10,$D41,""),"")</f>
        <v/>
      </c>
      <c r="X41" s="19" t="str">
        <f>IF(X$10&lt;&gt;"",IF($C41=X$10,$D41,""),"")</f>
        <v/>
      </c>
      <c r="Y41" s="19" t="str">
        <f>IF(Y$10&lt;&gt;"",IF($C41=Y$10,$D41,""),"")</f>
        <v/>
      </c>
      <c r="Z41" s="18"/>
      <c r="AA41" s="18"/>
      <c r="AB41" s="18"/>
      <c r="AC41" s="18"/>
      <c r="AD41" s="18"/>
      <c r="AE41" s="18"/>
      <c r="AF41" s="18"/>
      <c r="AG41" s="20"/>
    </row>
    <row r="42" spans="1:34" ht="13.5" customHeight="1" x14ac:dyDescent="0.25">
      <c r="A42" s="164"/>
      <c r="B42" s="74"/>
      <c r="C42" s="76" t="s">
        <v>37</v>
      </c>
      <c r="D42" s="77"/>
      <c r="E42" s="77"/>
      <c r="F42" s="77"/>
      <c r="G42" s="77"/>
      <c r="H42" s="78"/>
      <c r="I42" s="79" t="s">
        <v>38</v>
      </c>
      <c r="J42" s="80"/>
      <c r="K42" s="80"/>
      <c r="L42" s="80"/>
      <c r="M42" s="81"/>
      <c r="N42" s="82" t="s">
        <v>39</v>
      </c>
      <c r="O42" s="83"/>
      <c r="P42" s="83"/>
      <c r="Q42" s="83"/>
      <c r="R42" s="84"/>
      <c r="S42" s="126"/>
      <c r="T42" s="18"/>
      <c r="U42" s="19"/>
      <c r="V42" s="19"/>
      <c r="W42" s="19"/>
      <c r="X42" s="19"/>
      <c r="Y42" s="19"/>
      <c r="Z42" s="18"/>
      <c r="AA42" s="18"/>
      <c r="AB42" s="18"/>
      <c r="AC42" s="18"/>
      <c r="AD42" s="18"/>
      <c r="AE42" s="18"/>
      <c r="AF42" s="18"/>
      <c r="AG42" s="20"/>
    </row>
    <row r="43" spans="1:34" ht="13.5" customHeight="1" x14ac:dyDescent="0.25">
      <c r="A43" s="164"/>
      <c r="B43" s="75"/>
      <c r="C43" s="131"/>
      <c r="D43" s="132"/>
      <c r="E43" s="132"/>
      <c r="F43" s="132"/>
      <c r="G43" s="132"/>
      <c r="H43" s="133"/>
      <c r="I43" s="139"/>
      <c r="J43" s="140"/>
      <c r="K43" s="140"/>
      <c r="L43" s="140"/>
      <c r="M43" s="141"/>
      <c r="N43" s="142"/>
      <c r="O43" s="143"/>
      <c r="P43" s="143"/>
      <c r="Q43" s="143"/>
      <c r="R43" s="144"/>
      <c r="S43" s="127"/>
      <c r="T43" s="18"/>
      <c r="U43" s="19"/>
      <c r="V43" s="19"/>
      <c r="W43" s="19"/>
      <c r="X43" s="19"/>
      <c r="Y43" s="19"/>
      <c r="Z43" s="18"/>
      <c r="AA43" s="18"/>
      <c r="AB43" s="18"/>
      <c r="AC43" s="18"/>
      <c r="AD43" s="18"/>
      <c r="AE43" s="18"/>
      <c r="AF43" s="18"/>
      <c r="AG43" s="20"/>
    </row>
    <row r="44" spans="1:34" ht="13.5" customHeight="1" x14ac:dyDescent="0.25">
      <c r="A44" s="164"/>
      <c r="B44" s="73" t="str">
        <f t="shared" ref="B44" si="44">IF(AND(C44&lt;&gt;"",D44&lt;&gt;""),B41+1,"")</f>
        <v/>
      </c>
      <c r="C44" s="49"/>
      <c r="D44" s="50"/>
      <c r="E44" s="51" t="str">
        <f>IF(C44="","",VLOOKUP(C44,$E$3:$F$7,2,FALSE))</f>
        <v/>
      </c>
      <c r="F44" s="52" t="str">
        <f>IF(AND(G41&lt;&gt;"",C44&lt;&gt;""),G41+I41,"")</f>
        <v/>
      </c>
      <c r="G44" s="52" t="str">
        <f t="shared" ref="G44" si="45">IF(AND(C44&lt;&gt;"",F44&lt;&gt;""),F44+E44*D44,"")</f>
        <v/>
      </c>
      <c r="H44" s="52" t="str">
        <f t="shared" ref="H44" si="46">IF(AND(G44&lt;&gt;"",C44&lt;&gt;""),G44-F44,"")</f>
        <v/>
      </c>
      <c r="I44" s="52" t="str">
        <f>IF(H44&lt;&gt;"",$P$4+TIME(0,0,0),"")</f>
        <v/>
      </c>
      <c r="J44" s="53"/>
      <c r="K44" s="54" t="str">
        <f>IF(C44="","",IF(J44&lt;&gt;"",VLOOKUP(J44,[2]Tires!$D$6:$BJ$75,4,FALSE),K41))</f>
        <v/>
      </c>
      <c r="L44" s="54" t="str">
        <f>IF(C44="","",IF(J44&lt;&gt;"",IF(VLOOKUP(J44,[2]Tires!$D$6:$CH$75,51)&lt;&gt;"",VLOOKUP(J44,[2]Tires!$D$6:$CH$75,51),0),M41))</f>
        <v/>
      </c>
      <c r="M44" s="54" t="str">
        <f>IF(AND(G44&lt;&gt;"",C44&lt;&gt;""),L44+D44*[2]Resume!$K$12,"")</f>
        <v/>
      </c>
      <c r="N44" s="55"/>
      <c r="O44" s="56" t="str">
        <f>IF(AND(N44&lt;&gt;"",R41&lt;&gt;""),IF(OR(N44="f",N44="Full"),IF([2]Resume!$AS$5=1,Capacity,Capacity*Density)-R41,IF(N44&lt;=IF([2]Resume!$AS$5=1,Capacity,Capacity*Density),N44,IF([2]Resume!$AS$5=1,Capacity,Capacity*Density)))/$O$4,"")</f>
        <v/>
      </c>
      <c r="P44" s="57" t="e">
        <f>R41+N44</f>
        <v>#VALUE!</v>
      </c>
      <c r="Q44" s="57" t="str">
        <f t="shared" ref="Q44" si="47">IF(C44&lt;&gt;"",D44*VLOOKUP(C44,$E$3:$H$7,4,FALSE),"")</f>
        <v/>
      </c>
      <c r="R44" s="57" t="e">
        <f t="shared" ref="R44" si="48">IF(AND(C44&lt;&gt;"",D44&lt;&gt;"",P44&lt;&gt;""),IF(P44-Q44&lt;=0,0,P44-Q44),"")</f>
        <v>#VALUE!</v>
      </c>
      <c r="S44" s="125"/>
      <c r="T44" s="18"/>
      <c r="U44" s="19" t="str">
        <f>IF(U$10&lt;&gt;"",IF($C44=U$10,$D44,""),"")</f>
        <v/>
      </c>
      <c r="V44" s="19" t="str">
        <f>IF(V$10&lt;&gt;"",IF($C44=V$10,$D44,""),"")</f>
        <v/>
      </c>
      <c r="W44" s="19" t="str">
        <f>IF(W$10&lt;&gt;"",IF($C44=W$10,$D44,""),"")</f>
        <v/>
      </c>
      <c r="X44" s="19" t="str">
        <f>IF(X$10&lt;&gt;"",IF($C44=X$10,$D44,""),"")</f>
        <v/>
      </c>
      <c r="Y44" s="19" t="str">
        <f>IF(Y$10&lt;&gt;"",IF($C44=Y$10,$D44,""),"")</f>
        <v/>
      </c>
      <c r="Z44" s="18"/>
      <c r="AA44" s="18"/>
      <c r="AB44" s="18"/>
      <c r="AC44" s="18"/>
      <c r="AD44" s="18"/>
      <c r="AE44" s="18"/>
      <c r="AF44" s="18"/>
      <c r="AG44" s="20"/>
    </row>
    <row r="45" spans="1:34" ht="13.5" customHeight="1" x14ac:dyDescent="0.25">
      <c r="A45" s="164"/>
      <c r="B45" s="74"/>
      <c r="C45" s="76" t="s">
        <v>37</v>
      </c>
      <c r="D45" s="77"/>
      <c r="E45" s="77"/>
      <c r="F45" s="77"/>
      <c r="G45" s="77"/>
      <c r="H45" s="78"/>
      <c r="I45" s="79" t="s">
        <v>38</v>
      </c>
      <c r="J45" s="80"/>
      <c r="K45" s="80"/>
      <c r="L45" s="80"/>
      <c r="M45" s="81"/>
      <c r="N45" s="82" t="s">
        <v>39</v>
      </c>
      <c r="O45" s="83"/>
      <c r="P45" s="83"/>
      <c r="Q45" s="83"/>
      <c r="R45" s="84"/>
      <c r="S45" s="126"/>
      <c r="T45" s="18"/>
      <c r="U45" s="19"/>
      <c r="V45" s="19"/>
      <c r="W45" s="19"/>
      <c r="X45" s="19"/>
      <c r="Y45" s="19"/>
      <c r="Z45" s="18"/>
      <c r="AA45" s="18"/>
      <c r="AB45" s="18"/>
      <c r="AC45" s="18"/>
      <c r="AD45" s="18"/>
      <c r="AE45" s="18"/>
      <c r="AF45" s="18"/>
      <c r="AG45" s="20"/>
    </row>
    <row r="46" spans="1:34" ht="13.5" customHeight="1" x14ac:dyDescent="0.25">
      <c r="A46" s="164"/>
      <c r="B46" s="75"/>
      <c r="C46" s="131"/>
      <c r="D46" s="132"/>
      <c r="E46" s="132"/>
      <c r="F46" s="132"/>
      <c r="G46" s="132"/>
      <c r="H46" s="133"/>
      <c r="I46" s="139"/>
      <c r="J46" s="140"/>
      <c r="K46" s="140"/>
      <c r="L46" s="140"/>
      <c r="M46" s="141"/>
      <c r="N46" s="142"/>
      <c r="O46" s="143"/>
      <c r="P46" s="143"/>
      <c r="Q46" s="143"/>
      <c r="R46" s="144"/>
      <c r="S46" s="127"/>
      <c r="T46" s="18"/>
      <c r="U46" s="19"/>
      <c r="V46" s="19"/>
      <c r="W46" s="19"/>
      <c r="X46" s="19"/>
      <c r="Y46" s="19"/>
      <c r="Z46" s="18"/>
      <c r="AA46" s="18"/>
      <c r="AB46" s="18"/>
      <c r="AC46" s="18"/>
      <c r="AD46" s="18"/>
      <c r="AE46" s="18"/>
      <c r="AF46" s="18"/>
      <c r="AG46" s="20"/>
      <c r="AH46" s="20"/>
    </row>
    <row r="47" spans="1:34" ht="13.5" customHeight="1" x14ac:dyDescent="0.25"/>
    <row r="48" spans="1:34" ht="13.5" customHeight="1" x14ac:dyDescent="0.35">
      <c r="A48" s="6"/>
      <c r="B48" s="7"/>
      <c r="C48" s="7"/>
      <c r="D48" s="8"/>
      <c r="E48" s="67"/>
      <c r="F48" s="68"/>
      <c r="G48" s="7"/>
      <c r="H48" s="7"/>
      <c r="I48" s="69"/>
      <c r="J48" s="69"/>
      <c r="K48" s="69"/>
      <c r="L48" s="7"/>
      <c r="M48" s="7"/>
      <c r="N48" s="7"/>
      <c r="O48" s="7"/>
      <c r="P48" s="7"/>
      <c r="Q48" s="7"/>
      <c r="R48" s="7"/>
      <c r="S48" s="7"/>
      <c r="T48" s="18"/>
      <c r="U48">
        <f>'[2]RS FP1'!$EH$2</f>
        <v>4</v>
      </c>
      <c r="V48">
        <f>'[2]RS FP1'!$EI$2</f>
        <v>13</v>
      </c>
      <c r="W48">
        <f>'[2]RS FP1'!$EJ$2</f>
        <v>13</v>
      </c>
      <c r="X48" t="str">
        <f>'[2]RS FP1'!$EK$2</f>
        <v/>
      </c>
      <c r="Y48" t="str">
        <f>'[2]RS FP1'!$EL$2</f>
        <v/>
      </c>
      <c r="Z48" s="18"/>
      <c r="AA48" s="18"/>
      <c r="AB48" s="18"/>
      <c r="AC48" s="18"/>
      <c r="AD48" s="18"/>
      <c r="AE48" s="18"/>
      <c r="AF48" s="18"/>
      <c r="AG48" s="20"/>
      <c r="AH48" s="20"/>
    </row>
    <row r="49" spans="1:34" ht="13.5" customHeight="1" x14ac:dyDescent="0.25">
      <c r="A49" s="137" t="str">
        <f>IF([2]Resume!I16&lt;&gt;"",[2]Resume!I16,"")</f>
        <v>FP2</v>
      </c>
      <c r="B49" s="103" t="s">
        <v>16</v>
      </c>
      <c r="C49" s="103" t="s">
        <v>17</v>
      </c>
      <c r="D49" s="113" t="s">
        <v>9</v>
      </c>
      <c r="E49" s="113" t="s">
        <v>18</v>
      </c>
      <c r="F49" s="114" t="s">
        <v>19</v>
      </c>
      <c r="G49" s="103" t="s">
        <v>20</v>
      </c>
      <c r="H49" s="108" t="s">
        <v>21</v>
      </c>
      <c r="I49" s="110" t="s">
        <v>22</v>
      </c>
      <c r="J49" s="111" t="s">
        <v>23</v>
      </c>
      <c r="K49" s="112" t="s">
        <v>24</v>
      </c>
      <c r="L49" s="103" t="s">
        <v>25</v>
      </c>
      <c r="M49" s="103"/>
      <c r="N49" s="103" t="s">
        <v>26</v>
      </c>
      <c r="O49" s="103"/>
      <c r="P49" s="103"/>
      <c r="Q49" s="103"/>
      <c r="R49" s="103"/>
      <c r="S49" s="73" t="s">
        <v>27</v>
      </c>
      <c r="T49" s="18"/>
      <c r="U49" s="19">
        <f>SUM(U11:U40)</f>
        <v>49</v>
      </c>
      <c r="V49" s="19">
        <f>SUM(V11:V40)</f>
        <v>0</v>
      </c>
      <c r="W49" s="19">
        <f>SUM(W11:W40)</f>
        <v>0</v>
      </c>
      <c r="X49" s="70">
        <f>SUM(X11:X40)</f>
        <v>0</v>
      </c>
      <c r="Y49" s="70">
        <f>SUM(Y11:Y40)</f>
        <v>0</v>
      </c>
      <c r="Z49" s="104" t="s">
        <v>28</v>
      </c>
      <c r="AA49" s="104"/>
      <c r="AB49" s="104"/>
      <c r="AC49" s="104"/>
      <c r="AD49" s="105">
        <f>SUM(D51:D80)</f>
        <v>39</v>
      </c>
      <c r="AE49" s="106"/>
      <c r="AF49" s="107"/>
      <c r="AG49" s="46" t="s">
        <v>29</v>
      </c>
      <c r="AH49" s="20"/>
    </row>
    <row r="50" spans="1:34" ht="13.5" customHeight="1" x14ac:dyDescent="0.25">
      <c r="A50" s="138"/>
      <c r="B50" s="103"/>
      <c r="C50" s="103"/>
      <c r="D50" s="113"/>
      <c r="E50" s="113"/>
      <c r="F50" s="114"/>
      <c r="G50" s="103"/>
      <c r="H50" s="109"/>
      <c r="I50" s="110"/>
      <c r="J50" s="111"/>
      <c r="K50" s="112"/>
      <c r="L50" s="59" t="s">
        <v>30</v>
      </c>
      <c r="M50" s="59" t="s">
        <v>31</v>
      </c>
      <c r="N50" s="59" t="s">
        <v>32</v>
      </c>
      <c r="O50" s="71" t="s">
        <v>33</v>
      </c>
      <c r="P50" s="59" t="s">
        <v>30</v>
      </c>
      <c r="Q50" s="59" t="s">
        <v>34</v>
      </c>
      <c r="R50" s="59" t="s">
        <v>31</v>
      </c>
      <c r="S50" s="75"/>
      <c r="T50" s="18"/>
      <c r="U50" s="19" t="str">
        <f>Z58</f>
        <v>RD</v>
      </c>
      <c r="V50" s="19" t="str">
        <f>Z59</f>
        <v/>
      </c>
      <c r="W50" s="19" t="str">
        <f>Z60</f>
        <v/>
      </c>
      <c r="X50" s="19" t="str">
        <f>Z61</f>
        <v/>
      </c>
      <c r="Y50" s="19" t="str">
        <f>Z62</f>
        <v/>
      </c>
      <c r="Z50" s="104" t="s">
        <v>35</v>
      </c>
      <c r="AA50" s="104"/>
      <c r="AB50" s="104"/>
      <c r="AC50" s="104"/>
      <c r="AD50" s="105">
        <f>AD49*5.71</f>
        <v>222.69</v>
      </c>
      <c r="AE50" s="106"/>
      <c r="AF50" s="107"/>
      <c r="AG50" s="46" t="s">
        <v>36</v>
      </c>
      <c r="AH50" s="20"/>
    </row>
    <row r="51" spans="1:34" ht="13.5" customHeight="1" x14ac:dyDescent="0.25">
      <c r="A51" s="138"/>
      <c r="B51" s="73">
        <f>IF(AND(C51&lt;&gt;"",D51&lt;&gt;""),1,"")</f>
        <v>1</v>
      </c>
      <c r="C51" s="49" t="s">
        <v>44</v>
      </c>
      <c r="D51" s="50">
        <v>3</v>
      </c>
      <c r="E51" s="51">
        <f t="shared" ref="E51" si="49">IF(C51="","",VLOOKUP(C51,$E$3:$F$7,2,FALSE))</f>
        <v>1.1574074074074073E-3</v>
      </c>
      <c r="F51" s="52">
        <v>0.58333333333333337</v>
      </c>
      <c r="G51" s="52">
        <f t="shared" ref="G51" si="50">IF(AND(C51&lt;&gt;"",F51&lt;&gt;""),F51+E51*D51,"")</f>
        <v>0.58680555555555558</v>
      </c>
      <c r="H51" s="52">
        <f>IF(AND(G51&lt;&gt;"",C51&lt;&gt;""),G51-F51,"")</f>
        <v>3.4722222222222099E-3</v>
      </c>
      <c r="I51" s="52">
        <f>IF(H51&lt;&gt;"",$P$4+TIME(0,0,0),"")</f>
        <v>5.5555555555555558E-3</v>
      </c>
      <c r="J51" s="53"/>
      <c r="K51" s="54" t="b">
        <f>IF(C51="","",IF(J51&lt;&gt;"",VLOOKUP(J51,[2]Tires!$D$6:$BJ$75,4,FALSE)))</f>
        <v>0</v>
      </c>
      <c r="L51" s="54" t="str">
        <f>M44</f>
        <v/>
      </c>
      <c r="M51" s="54" t="e">
        <f>IF(AND(G51&lt;&gt;"",C51&lt;&gt;""),L51+D51*[2]Resume!$K$12,"")</f>
        <v>#VALUE!</v>
      </c>
      <c r="N51" s="55">
        <v>80</v>
      </c>
      <c r="O51" s="56">
        <f>IF(N51&lt;&gt;"",IF(OR(N51="f",N51="Full"),IF([2]Resume!AS38=1,Capacity,Capacity*Density),IF(N51&lt;=IF([2]Resume!AS38=1,Capacity,Capacity*Density),N51,IF([2]Resume!AS38=1,Capacity,Capacity*Density)))/$O$4,"")</f>
        <v>33.755274261603375</v>
      </c>
      <c r="P51" s="57">
        <f>IF(N51&lt;&gt;"",IF(OR(N51="f",N51="Full"),IF([2]Resume!AS38=1,Capacity,Capacity*Density),IF(N51&lt;=IF([2]Resume!AS38=1,Capacity,Capacity*Density),N51,IF([2]Resume!AS38=1,Capacity,Capacity*Density))),"")</f>
        <v>80</v>
      </c>
      <c r="Q51" s="57">
        <f t="shared" ref="Q51" si="51">IF(C51&lt;&gt;"",D51*VLOOKUP(C51,$E$3:$H$7,4,FALSE),"")</f>
        <v>8.4915000000000003</v>
      </c>
      <c r="R51" s="57">
        <f>IF(AND(C51&lt;&gt;"",D51&lt;&gt;"",P51&lt;&gt;""),IF(P51-Q51&lt;=0,0,P51-Q51),"")</f>
        <v>71.508499999999998</v>
      </c>
      <c r="S51" s="134" t="s">
        <v>75</v>
      </c>
      <c r="T51" s="18"/>
      <c r="U51" s="19">
        <f>IF(U$50&lt;&gt;"",IF($C51=U$50,$D51,""),"")</f>
        <v>3</v>
      </c>
      <c r="V51" s="19" t="str">
        <f>IF(V$50&lt;&gt;"",IF($C51=V$50,$D51,""),"")</f>
        <v/>
      </c>
      <c r="W51" s="19" t="str">
        <f>IF(W$50&lt;&gt;"",IF($C51=W$50,$D51,""),"")</f>
        <v/>
      </c>
      <c r="X51" s="19" t="str">
        <f>IF(X$50&lt;&gt;"",IF($C51=X$50,$D51,""),"")</f>
        <v/>
      </c>
      <c r="Y51" s="19" t="str">
        <f>IF(Y$50&lt;&gt;"",IF($C51=Y$50,$D51,""),"")</f>
        <v/>
      </c>
      <c r="Z51" s="115" t="s">
        <v>45</v>
      </c>
      <c r="AA51" s="115"/>
      <c r="AB51" s="115"/>
      <c r="AC51" s="115"/>
      <c r="AD51" s="100">
        <f>AD49+AD9</f>
        <v>88</v>
      </c>
      <c r="AE51" s="101"/>
      <c r="AF51" s="102"/>
      <c r="AG51" s="72" t="s">
        <v>29</v>
      </c>
      <c r="AH51" s="20"/>
    </row>
    <row r="52" spans="1:34" ht="13.5" customHeight="1" x14ac:dyDescent="0.25">
      <c r="A52" s="138"/>
      <c r="B52" s="74"/>
      <c r="C52" s="76" t="s">
        <v>37</v>
      </c>
      <c r="D52" s="77"/>
      <c r="E52" s="77"/>
      <c r="F52" s="77"/>
      <c r="G52" s="77"/>
      <c r="H52" s="78"/>
      <c r="I52" s="79" t="s">
        <v>38</v>
      </c>
      <c r="J52" s="80"/>
      <c r="K52" s="80"/>
      <c r="L52" s="80"/>
      <c r="M52" s="81"/>
      <c r="N52" s="82" t="s">
        <v>39</v>
      </c>
      <c r="O52" s="83"/>
      <c r="P52" s="83"/>
      <c r="Q52" s="83"/>
      <c r="R52" s="84"/>
      <c r="S52" s="135"/>
      <c r="T52" s="18"/>
      <c r="U52" s="19"/>
      <c r="V52" s="19"/>
      <c r="W52" s="19"/>
      <c r="X52" s="19"/>
      <c r="Y52" s="19"/>
      <c r="Z52" s="115" t="s">
        <v>46</v>
      </c>
      <c r="AA52" s="115"/>
      <c r="AB52" s="115"/>
      <c r="AC52" s="115"/>
      <c r="AD52" s="100" t="e">
        <f>AD50+#REF!</f>
        <v>#REF!</v>
      </c>
      <c r="AE52" s="101"/>
      <c r="AF52" s="102"/>
      <c r="AG52" s="72" t="s">
        <v>36</v>
      </c>
      <c r="AH52" s="20"/>
    </row>
    <row r="53" spans="1:34" ht="12.75" customHeight="1" x14ac:dyDescent="0.25">
      <c r="A53" s="138"/>
      <c r="B53" s="75"/>
      <c r="C53" s="85" t="s">
        <v>87</v>
      </c>
      <c r="D53" s="86"/>
      <c r="E53" s="86"/>
      <c r="F53" s="86"/>
      <c r="G53" s="86"/>
      <c r="H53" s="87"/>
      <c r="I53" s="88"/>
      <c r="J53" s="89"/>
      <c r="K53" s="89"/>
      <c r="L53" s="89"/>
      <c r="M53" s="90"/>
      <c r="N53" s="91" t="s">
        <v>68</v>
      </c>
      <c r="O53" s="92"/>
      <c r="P53" s="92"/>
      <c r="Q53" s="92"/>
      <c r="R53" s="93"/>
      <c r="S53" s="136"/>
      <c r="T53" s="18"/>
      <c r="U53" s="19"/>
      <c r="V53" s="19"/>
      <c r="W53" s="19"/>
      <c r="X53" s="19"/>
      <c r="Y53" s="19"/>
      <c r="AH53" s="20"/>
    </row>
    <row r="54" spans="1:34" ht="13.5" customHeight="1" x14ac:dyDescent="0.25">
      <c r="A54" s="138"/>
      <c r="B54" s="73">
        <f>IF(AND(C54&lt;&gt;"",D54&lt;&gt;""),B51+1,"")</f>
        <v>2</v>
      </c>
      <c r="C54" s="49" t="s">
        <v>44</v>
      </c>
      <c r="D54" s="50">
        <v>3</v>
      </c>
      <c r="E54" s="51">
        <f>IF(C54="","",VLOOKUP(C54,$E$3:$F$7,2,FALSE))</f>
        <v>1.1574074074074073E-3</v>
      </c>
      <c r="F54" s="52">
        <f>IF(AND(G51&lt;&gt;"",C54&lt;&gt;""),G51+I51,"")</f>
        <v>0.59236111111111112</v>
      </c>
      <c r="G54" s="52">
        <f t="shared" ref="G54" si="52">IF(AND(C54&lt;&gt;"",F54&lt;&gt;""),F54+E54*D54,"")</f>
        <v>0.59583333333333333</v>
      </c>
      <c r="H54" s="52">
        <f t="shared" ref="H54" si="53">IF(AND(G54&lt;&gt;"",C54&lt;&gt;""),G54-F54,"")</f>
        <v>3.4722222222222099E-3</v>
      </c>
      <c r="I54" s="52">
        <f>IF(H54&lt;&gt;"",$P$4-TIME(0,3,0),"")</f>
        <v>3.4722222222222225E-3</v>
      </c>
      <c r="J54" s="53"/>
      <c r="K54" s="54" t="b">
        <f>IF(C54="","",IF(J54&lt;&gt;"",VLOOKUP(J54,[2]Tires!$D$6:$BJ$75,4,FALSE),K51))</f>
        <v>0</v>
      </c>
      <c r="L54" s="54" t="e">
        <f>IF(C54="","",IF(J54&lt;&gt;"",IF(VLOOKUP(J54,[2]Tires!$D$6:$CH$75,51)&lt;&gt;"",VLOOKUP(J54,[2]Tires!$D$6:$CH$75,51),0),M51))</f>
        <v>#VALUE!</v>
      </c>
      <c r="M54" s="54" t="e">
        <f>IF(AND(G54&lt;&gt;"",C54&lt;&gt;""),L54+D54*[2]Resume!$K$12,"")</f>
        <v>#VALUE!</v>
      </c>
      <c r="N54" s="55"/>
      <c r="O54" s="56" t="str">
        <f>IF(AND(N54&lt;&gt;"",R51&lt;&gt;""),IF(OR(N54="f",N54="Full"),IF([2]Resume!$AS$5=1,Capacity,Capacity*Density)-R51,IF(N54&lt;=IF([2]Resume!$AS$5=1,Capacity,Capacity*Density),N54,IF([2]Resume!$AS$5=1,Capacity,Capacity*Density)))/$O$4,"")</f>
        <v/>
      </c>
      <c r="P54" s="57">
        <f>R51+N54</f>
        <v>71.508499999999998</v>
      </c>
      <c r="Q54" s="57">
        <f t="shared" ref="Q54" si="54">IF(C54&lt;&gt;"",D54*VLOOKUP(C54,$E$3:$H$7,4,FALSE),"")</f>
        <v>8.4915000000000003</v>
      </c>
      <c r="R54" s="57">
        <f t="shared" ref="R54" si="55">IF(AND(C54&lt;&gt;"",D54&lt;&gt;"",P54&lt;&gt;""),IF(P54-Q54&lt;=0,0,P54-Q54),"")</f>
        <v>63.016999999999996</v>
      </c>
      <c r="S54" s="134" t="s">
        <v>70</v>
      </c>
      <c r="T54" s="18"/>
      <c r="U54" s="19">
        <f>IF(U$50&lt;&gt;"",IF($C54=U$50,$D54,""),"")</f>
        <v>3</v>
      </c>
      <c r="V54" s="19" t="str">
        <f>IF(V$50&lt;&gt;"",IF($C54=V$50,$D54,""),"")</f>
        <v/>
      </c>
      <c r="W54" s="19" t="str">
        <f>IF(W$50&lt;&gt;"",IF($C54=W$50,$D54,""),"")</f>
        <v/>
      </c>
      <c r="X54" s="19" t="str">
        <f>IF(X$50&lt;&gt;"",IF($C54=X$50,$D54,""),"")</f>
        <v/>
      </c>
      <c r="Y54" s="19" t="str">
        <f>IF(Y$50&lt;&gt;"",IF($C54=Y$50,$D54,""),"")</f>
        <v/>
      </c>
      <c r="AH54" s="20"/>
    </row>
    <row r="55" spans="1:34" ht="13.5" customHeight="1" x14ac:dyDescent="0.25">
      <c r="A55" s="138"/>
      <c r="B55" s="74"/>
      <c r="C55" s="76" t="s">
        <v>37</v>
      </c>
      <c r="D55" s="77"/>
      <c r="E55" s="77"/>
      <c r="F55" s="77"/>
      <c r="G55" s="77"/>
      <c r="H55" s="78"/>
      <c r="I55" s="79" t="s">
        <v>38</v>
      </c>
      <c r="J55" s="80"/>
      <c r="K55" s="80"/>
      <c r="L55" s="80"/>
      <c r="M55" s="81"/>
      <c r="N55" s="82" t="s">
        <v>39</v>
      </c>
      <c r="O55" s="83"/>
      <c r="P55" s="83"/>
      <c r="Q55" s="83"/>
      <c r="R55" s="84"/>
      <c r="S55" s="135"/>
      <c r="T55" s="18"/>
      <c r="U55" s="19"/>
      <c r="V55" s="19"/>
      <c r="W55" s="19"/>
      <c r="X55" s="19"/>
      <c r="Y55" s="19"/>
      <c r="AH55" s="20"/>
    </row>
    <row r="56" spans="1:34" ht="13.5" customHeight="1" x14ac:dyDescent="0.25">
      <c r="A56" s="138"/>
      <c r="B56" s="75"/>
      <c r="C56" s="85" t="s">
        <v>71</v>
      </c>
      <c r="D56" s="86"/>
      <c r="E56" s="86"/>
      <c r="F56" s="86"/>
      <c r="G56" s="86"/>
      <c r="H56" s="87"/>
      <c r="I56" s="88"/>
      <c r="J56" s="89"/>
      <c r="K56" s="89"/>
      <c r="L56" s="89"/>
      <c r="M56" s="90"/>
      <c r="N56" s="91"/>
      <c r="O56" s="92"/>
      <c r="P56" s="92"/>
      <c r="Q56" s="92"/>
      <c r="R56" s="93"/>
      <c r="S56" s="136"/>
      <c r="T56" s="18"/>
      <c r="U56" s="19"/>
      <c r="V56" s="19"/>
      <c r="W56" s="19"/>
      <c r="X56" s="19"/>
      <c r="Y56" s="19"/>
      <c r="AH56" s="20"/>
    </row>
    <row r="57" spans="1:34" ht="13.5" customHeight="1" x14ac:dyDescent="0.25">
      <c r="A57" s="138"/>
      <c r="B57" s="73">
        <f>IF(AND(C57&lt;&gt;"",D57&lt;&gt;""),B54+1,"")</f>
        <v>3</v>
      </c>
      <c r="C57" s="49" t="s">
        <v>44</v>
      </c>
      <c r="D57" s="50">
        <v>3</v>
      </c>
      <c r="E57" s="51">
        <f>IF(C57="","",VLOOKUP(C57,$E$3:$F$7,2,FALSE))</f>
        <v>1.1574074074074073E-3</v>
      </c>
      <c r="F57" s="52">
        <f>IF(AND(G54&lt;&gt;"",C57&lt;&gt;""),G54+I54,"")</f>
        <v>0.59930555555555554</v>
      </c>
      <c r="G57" s="52">
        <f t="shared" ref="G57" si="56">IF(AND(C57&lt;&gt;"",F57&lt;&gt;""),F57+E57*D57,"")</f>
        <v>0.60277777777777775</v>
      </c>
      <c r="H57" s="52">
        <f t="shared" ref="H57" si="57">IF(AND(G57&lt;&gt;"",C57&lt;&gt;""),G57-F57,"")</f>
        <v>3.4722222222222099E-3</v>
      </c>
      <c r="I57" s="52">
        <f>IF(H57&lt;&gt;"",$P$4-TIME(0,3,0),"")</f>
        <v>3.4722222222222225E-3</v>
      </c>
      <c r="J57" s="53"/>
      <c r="K57" s="54" t="b">
        <f>IF(C57="","",IF(J57&lt;&gt;"",VLOOKUP(J57,[2]Tires!$D$6:$BJ$75,4,FALSE),K54))</f>
        <v>0</v>
      </c>
      <c r="L57" s="54" t="e">
        <f>IF(C57="","",IF(J57&lt;&gt;"",IF(VLOOKUP(J57,[2]Tires!$D$6:$CH$75,51)&lt;&gt;"",VLOOKUP(J57,[2]Tires!$D$6:$CH$75,51),0),M54))</f>
        <v>#VALUE!</v>
      </c>
      <c r="M57" s="54" t="e">
        <f>IF(AND(G57&lt;&gt;"",C57&lt;&gt;""),L57+D57*[2]Resume!$K$12,"")</f>
        <v>#VALUE!</v>
      </c>
      <c r="N57" s="55">
        <v>30</v>
      </c>
      <c r="O57" s="56">
        <f>IF(AND(N57&lt;&gt;"",R54&lt;&gt;""),IF(OR(N57="f",N57="Full"),IF([2]Resume!$AS$5=1,Capacity,Capacity*Density)-R54,IF(N57&lt;=IF([2]Resume!$AS$5=1,Capacity,Capacity*Density),N57,IF([2]Resume!$AS$5=1,Capacity,Capacity*Density)))/$O$4,"")</f>
        <v>12.658227848101266</v>
      </c>
      <c r="P57" s="57">
        <f>R54+N57</f>
        <v>93.016999999999996</v>
      </c>
      <c r="Q57" s="57">
        <f t="shared" ref="Q57" si="58">IF(C57&lt;&gt;"",D57*VLOOKUP(C57,$E$3:$H$7,4,FALSE),"")</f>
        <v>8.4915000000000003</v>
      </c>
      <c r="R57" s="57">
        <f t="shared" ref="R57" si="59">IF(AND(C57&lt;&gt;"",D57&lt;&gt;"",P57&lt;&gt;""),IF(P57-Q57&lt;=0,0,P57-Q57),"")</f>
        <v>84.525499999999994</v>
      </c>
      <c r="S57" s="134" t="s">
        <v>70</v>
      </c>
      <c r="T57" s="18"/>
      <c r="U57" s="19">
        <f>IF(U$50&lt;&gt;"",IF($C57=U$50,$D57,""),"")</f>
        <v>3</v>
      </c>
      <c r="V57" s="19" t="str">
        <f>IF(V$50&lt;&gt;"",IF($C57=V$50,$D57,""),"")</f>
        <v/>
      </c>
      <c r="W57" s="19" t="str">
        <f>IF(W$50&lt;&gt;"",IF($C57=W$50,$D57,""),"")</f>
        <v/>
      </c>
      <c r="X57" s="19" t="str">
        <f>IF(X$50&lt;&gt;"",IF($C57=X$50,$D57,""),"")</f>
        <v/>
      </c>
      <c r="Y57" s="19" t="str">
        <f>IF(Y$50&lt;&gt;"",IF($C57=Y$50,$D57,""),"")</f>
        <v/>
      </c>
      <c r="Z57" s="97" t="str">
        <f>IF([2]Resume!O16&lt;&gt;"",[2]Resume!O16,"")</f>
        <v>FP2</v>
      </c>
      <c r="AA57" s="98"/>
      <c r="AB57" s="98"/>
      <c r="AC57" s="99"/>
      <c r="AD57" s="97" t="s">
        <v>41</v>
      </c>
      <c r="AE57" s="98"/>
      <c r="AF57" s="99"/>
      <c r="AG57" s="59"/>
      <c r="AH57" s="20"/>
    </row>
    <row r="58" spans="1:34" ht="13.5" customHeight="1" x14ac:dyDescent="0.25">
      <c r="A58" s="138"/>
      <c r="B58" s="74"/>
      <c r="C58" s="76" t="s">
        <v>37</v>
      </c>
      <c r="D58" s="77"/>
      <c r="E58" s="77"/>
      <c r="F58" s="77"/>
      <c r="G58" s="77"/>
      <c r="H58" s="78"/>
      <c r="I58" s="79" t="s">
        <v>38</v>
      </c>
      <c r="J58" s="80"/>
      <c r="K58" s="80"/>
      <c r="L58" s="80"/>
      <c r="M58" s="81"/>
      <c r="N58" s="82" t="s">
        <v>39</v>
      </c>
      <c r="O58" s="83"/>
      <c r="P58" s="83"/>
      <c r="Q58" s="83"/>
      <c r="R58" s="84"/>
      <c r="S58" s="135"/>
      <c r="T58" s="18"/>
      <c r="U58" s="19"/>
      <c r="V58" s="19"/>
      <c r="W58" s="19"/>
      <c r="X58" s="19"/>
      <c r="Y58" s="19"/>
      <c r="Z58" s="60" t="str">
        <f>IF($E$3&lt;&gt;"",$E$3,"")</f>
        <v>RD</v>
      </c>
      <c r="AA58" s="94"/>
      <c r="AB58" s="95"/>
      <c r="AC58" s="96"/>
      <c r="AD58" s="94"/>
      <c r="AE58" s="95"/>
      <c r="AF58" s="96"/>
      <c r="AG58" s="46" t="s">
        <v>29</v>
      </c>
      <c r="AH58" s="20"/>
    </row>
    <row r="59" spans="1:34" ht="13.5" customHeight="1" x14ac:dyDescent="0.25">
      <c r="A59" s="138"/>
      <c r="B59" s="75"/>
      <c r="C59" s="85" t="s">
        <v>72</v>
      </c>
      <c r="D59" s="86"/>
      <c r="E59" s="86"/>
      <c r="F59" s="86"/>
      <c r="G59" s="86"/>
      <c r="H59" s="87"/>
      <c r="I59" s="88"/>
      <c r="J59" s="89"/>
      <c r="K59" s="89"/>
      <c r="L59" s="89"/>
      <c r="M59" s="90"/>
      <c r="N59" s="91"/>
      <c r="O59" s="92"/>
      <c r="P59" s="92"/>
      <c r="Q59" s="92"/>
      <c r="R59" s="93"/>
      <c r="S59" s="136"/>
      <c r="T59" s="18"/>
      <c r="U59" s="19"/>
      <c r="V59" s="19"/>
      <c r="W59" s="19"/>
      <c r="X59" s="19"/>
      <c r="Y59" s="19"/>
      <c r="Z59" s="61" t="str">
        <f>IF($E$4&lt;&gt;"",$E$4,"")</f>
        <v/>
      </c>
      <c r="AA59" s="94" t="str">
        <f>IF(Z59&lt;&gt;"",IF(SUM(#REF!)&lt;&gt;0,#REF!,#REF!),"")</f>
        <v/>
      </c>
      <c r="AB59" s="95"/>
      <c r="AC59" s="96"/>
      <c r="AD59" s="94" t="str">
        <f>IF(Z59&lt;&gt;"",SUM(AA59,AD19),"")</f>
        <v/>
      </c>
      <c r="AE59" s="95"/>
      <c r="AF59" s="96"/>
      <c r="AG59" s="46" t="s">
        <v>29</v>
      </c>
      <c r="AH59" s="20"/>
    </row>
    <row r="60" spans="1:34" s="18" customFormat="1" ht="13.5" customHeight="1" x14ac:dyDescent="0.2">
      <c r="A60" s="138"/>
      <c r="B60" s="73">
        <f>IF(AND(C60&lt;&gt;"",D60&lt;&gt;""),B57+1,"")</f>
        <v>4</v>
      </c>
      <c r="C60" s="49" t="s">
        <v>44</v>
      </c>
      <c r="D60" s="50">
        <v>7</v>
      </c>
      <c r="E60" s="51">
        <f>IF(C60="","",VLOOKUP(C60,$E$3:$F$7,2,FALSE))</f>
        <v>1.1574074074074073E-3</v>
      </c>
      <c r="F60" s="52">
        <f>IF(AND(G57&lt;&gt;"",C60&lt;&gt;""),G57+I57,"")</f>
        <v>0.60624999999999996</v>
      </c>
      <c r="G60" s="52">
        <f t="shared" ref="G60" si="60">IF(AND(C60&lt;&gt;"",F60&lt;&gt;""),F60+E60*D60,"")</f>
        <v>0.61435185185185182</v>
      </c>
      <c r="H60" s="52">
        <f t="shared" ref="H60" si="61">IF(AND(G60&lt;&gt;"",C60&lt;&gt;""),G60-F60,"")</f>
        <v>8.1018518518518601E-3</v>
      </c>
      <c r="I60" s="52">
        <f>IF(H60&lt;&gt;"",$P$4-TIME(0,3,0),"")</f>
        <v>3.4722222222222225E-3</v>
      </c>
      <c r="J60" s="53"/>
      <c r="K60" s="54" t="b">
        <f>IF(C60="","",IF(J60&lt;&gt;"",VLOOKUP(J60,[2]Tires!$D$6:$BJ$75,4,FALSE),K57))</f>
        <v>0</v>
      </c>
      <c r="L60" s="54" t="e">
        <f>IF(C60="","",IF(J60&lt;&gt;"",IF(VLOOKUP(J60,[2]Tires!$D$6:$CH$75,51)&lt;&gt;"",VLOOKUP(J60,[2]Tires!$D$6:$CH$75,51),0),M57))</f>
        <v>#VALUE!</v>
      </c>
      <c r="M60" s="54" t="e">
        <f>IF(AND(G60&lt;&gt;"",C60&lt;&gt;""),L60+D60*[2]Resume!$K$12,"")</f>
        <v>#VALUE!</v>
      </c>
      <c r="N60" s="55"/>
      <c r="O60" s="56" t="str">
        <f>IF(AND(N60&lt;&gt;"",R57&lt;&gt;""),IF(OR(N60="f",N60="Full"),IF([2]Resume!$AS$5=1,Capacity,Capacity*Density)-R57,IF(N60&lt;=IF([2]Resume!$AS$5=1,Capacity,Capacity*Density),N60,IF([2]Resume!$AS$5=1,Capacity,Capacity*Density)))/$O$4,"")</f>
        <v/>
      </c>
      <c r="P60" s="57">
        <f>R57+N60</f>
        <v>84.525499999999994</v>
      </c>
      <c r="Q60" s="57">
        <f t="shared" ref="Q60" si="62">IF(C60&lt;&gt;"",D60*VLOOKUP(C60,$E$3:$H$7,4,FALSE),"")</f>
        <v>19.813500000000001</v>
      </c>
      <c r="R60" s="57">
        <f t="shared" ref="R60" si="63">IF(AND(C60&lt;&gt;"",D60&lt;&gt;"",P60&lt;&gt;""),IF(P60-Q60&lt;=0,0,P60-Q60),"")</f>
        <v>64.711999999999989</v>
      </c>
      <c r="S60" s="134" t="s">
        <v>83</v>
      </c>
      <c r="U60" s="19">
        <f>IF(U$50&lt;&gt;"",IF($C60=U$50,$D60,""),"")</f>
        <v>7</v>
      </c>
      <c r="V60" s="19" t="str">
        <f>IF(V$50&lt;&gt;"",IF($C60=V$50,$D60,""),"")</f>
        <v/>
      </c>
      <c r="W60" s="19" t="str">
        <f>IF(W$50&lt;&gt;"",IF($C60=W$50,$D60,""),"")</f>
        <v/>
      </c>
      <c r="X60" s="19" t="str">
        <f>IF(X$50&lt;&gt;"",IF($C60=X$50,$D60,""),"")</f>
        <v/>
      </c>
      <c r="Y60" s="19" t="str">
        <f>IF(Y$50&lt;&gt;"",IF($C60=Y$50,$D60,""),"")</f>
        <v/>
      </c>
      <c r="Z60" s="62" t="str">
        <f>IF($E$5&lt;&gt;"",$E$5,"")</f>
        <v/>
      </c>
      <c r="AA60" s="94" t="str">
        <f>IF(Z60&lt;&gt;"",IF(SUM(#REF!)&lt;&gt;0,#REF!,#REF!),"")</f>
        <v/>
      </c>
      <c r="AB60" s="95"/>
      <c r="AC60" s="96"/>
      <c r="AD60" s="94" t="str">
        <f>IF(Z60&lt;&gt;"",SUM(AA60,AD20),"")</f>
        <v/>
      </c>
      <c r="AE60" s="95"/>
      <c r="AF60" s="96"/>
      <c r="AG60" s="46" t="s">
        <v>29</v>
      </c>
      <c r="AH60" s="20"/>
    </row>
    <row r="61" spans="1:34" s="18" customFormat="1" ht="13.5" customHeight="1" x14ac:dyDescent="0.2">
      <c r="A61" s="138"/>
      <c r="B61" s="74"/>
      <c r="C61" s="76" t="s">
        <v>37</v>
      </c>
      <c r="D61" s="77"/>
      <c r="E61" s="77"/>
      <c r="F61" s="77"/>
      <c r="G61" s="77"/>
      <c r="H61" s="78"/>
      <c r="I61" s="79" t="s">
        <v>38</v>
      </c>
      <c r="J61" s="80"/>
      <c r="K61" s="80"/>
      <c r="L61" s="80"/>
      <c r="M61" s="81"/>
      <c r="N61" s="82" t="s">
        <v>39</v>
      </c>
      <c r="O61" s="83"/>
      <c r="P61" s="83"/>
      <c r="Q61" s="83"/>
      <c r="R61" s="84"/>
      <c r="S61" s="135"/>
      <c r="U61" s="19"/>
      <c r="V61" s="19"/>
      <c r="W61" s="19"/>
      <c r="X61" s="19"/>
      <c r="Y61" s="19"/>
      <c r="Z61" s="63" t="str">
        <f>IF($E$6&lt;&gt;"",$E$6,"")</f>
        <v/>
      </c>
      <c r="AA61" s="94" t="str">
        <f>IF(Z61&lt;&gt;"",IF(SUM(#REF!)&lt;&gt;0,#REF!,#REF!),"")</f>
        <v/>
      </c>
      <c r="AB61" s="95"/>
      <c r="AC61" s="96"/>
      <c r="AD61" s="94" t="str">
        <f>IF(Z61&lt;&gt;"",SUM(AA61,AD21),"")</f>
        <v/>
      </c>
      <c r="AE61" s="95"/>
      <c r="AF61" s="96"/>
      <c r="AG61" s="46" t="s">
        <v>29</v>
      </c>
      <c r="AH61" s="20"/>
    </row>
    <row r="62" spans="1:34" s="18" customFormat="1" ht="13.5" customHeight="1" x14ac:dyDescent="0.2">
      <c r="A62" s="138"/>
      <c r="B62" s="75"/>
      <c r="C62" s="85"/>
      <c r="D62" s="86"/>
      <c r="E62" s="86"/>
      <c r="F62" s="86"/>
      <c r="G62" s="86"/>
      <c r="H62" s="87"/>
      <c r="I62" s="88"/>
      <c r="J62" s="89"/>
      <c r="K62" s="89"/>
      <c r="L62" s="89"/>
      <c r="M62" s="90"/>
      <c r="N62" s="91" t="s">
        <v>82</v>
      </c>
      <c r="O62" s="92"/>
      <c r="P62" s="92"/>
      <c r="Q62" s="92"/>
      <c r="R62" s="93"/>
      <c r="S62" s="136"/>
      <c r="U62" s="19"/>
      <c r="V62" s="19"/>
      <c r="W62" s="19"/>
      <c r="X62" s="19"/>
      <c r="Y62" s="19"/>
      <c r="Z62" s="64" t="str">
        <f>IF($E$7&lt;&gt;"",$E$7,"")</f>
        <v/>
      </c>
      <c r="AA62" s="94" t="str">
        <f>IF(Z62&lt;&gt;"",IF(SUM(#REF!)&lt;&gt;0,#REF!,#REF!),"")</f>
        <v/>
      </c>
      <c r="AB62" s="95"/>
      <c r="AC62" s="96"/>
      <c r="AD62" s="94" t="str">
        <f>IF(Z62&lt;&gt;"",SUM(AA62,AD22),"")</f>
        <v/>
      </c>
      <c r="AE62" s="95"/>
      <c r="AF62" s="96"/>
      <c r="AG62" s="46" t="s">
        <v>29</v>
      </c>
      <c r="AH62" s="20"/>
    </row>
    <row r="63" spans="1:34" s="18" customFormat="1" ht="13.5" customHeight="1" x14ac:dyDescent="0.2">
      <c r="A63" s="138"/>
      <c r="B63" s="73">
        <f>IF(AND(C63&lt;&gt;"",D63&lt;&gt;""),B60+1,"")</f>
        <v>5</v>
      </c>
      <c r="C63" s="49" t="s">
        <v>44</v>
      </c>
      <c r="D63" s="50">
        <v>3</v>
      </c>
      <c r="E63" s="51">
        <f>IF(C63="","",VLOOKUP(C63,$E$3:$F$7,2,FALSE))</f>
        <v>1.1574074074074073E-3</v>
      </c>
      <c r="F63" s="52">
        <f>IF(AND(G57&lt;&gt;"",C63&lt;&gt;""),G60+I60,"")</f>
        <v>0.61782407407407403</v>
      </c>
      <c r="G63" s="52">
        <f t="shared" ref="G63" si="64">IF(AND(C63&lt;&gt;"",F63&lt;&gt;""),F63+E63*D63,"")</f>
        <v>0.62129629629629624</v>
      </c>
      <c r="H63" s="52">
        <f t="shared" ref="H63" si="65">IF(AND(G63&lt;&gt;"",C63&lt;&gt;""),G63-F63,"")</f>
        <v>3.4722222222222099E-3</v>
      </c>
      <c r="I63" s="52">
        <f>IF(H63&lt;&gt;"",$P$4+TIME(0,0,0),"")</f>
        <v>5.5555555555555558E-3</v>
      </c>
      <c r="J63" s="53"/>
      <c r="K63" s="54" t="b">
        <f>IF(C63="","",IF(J63&lt;&gt;"",VLOOKUP(J63,[2]Tires!$D$6:$BJ$75,4,FALSE),K60))</f>
        <v>0</v>
      </c>
      <c r="L63" s="54" t="e">
        <f>IF(C63="","",IF(J63&lt;&gt;"",IF(VLOOKUP(J63,[2]Tires!$D$6:$CH$75,51)&lt;&gt;"",VLOOKUP(J63,[2]Tires!$D$6:$CH$75,51),0),M60))</f>
        <v>#VALUE!</v>
      </c>
      <c r="M63" s="54" t="e">
        <f>IF(AND(G63&lt;&gt;"",C63&lt;&gt;""),L63+D63*[2]Resume!$K$12,"")</f>
        <v>#VALUE!</v>
      </c>
      <c r="N63" s="55"/>
      <c r="O63" s="56" t="str">
        <f>IF(AND(N63&lt;&gt;"",R57&lt;&gt;""),IF(OR(N63="f",N63="Full"),IF([2]Resume!$AS$5=1,Capacity,Capacity*Density)-R57,IF(N63&lt;=IF([2]Resume!$AS$5=1,Capacity,Capacity*Density),N63,IF([2]Resume!$AS$5=1,Capacity,Capacity*Density)))/$O$4,"")</f>
        <v/>
      </c>
      <c r="P63" s="57">
        <f>R60+N63</f>
        <v>64.711999999999989</v>
      </c>
      <c r="Q63" s="57">
        <f t="shared" ref="Q63" si="66">IF(C63&lt;&gt;"",D63*VLOOKUP(C63,$E$3:$H$7,4,FALSE),"")</f>
        <v>8.4915000000000003</v>
      </c>
      <c r="R63" s="57">
        <f t="shared" ref="R63" si="67">IF(AND(C63&lt;&gt;"",D63&lt;&gt;"",P63&lt;&gt;""),IF(P63-Q63&lt;=0,0,P63-Q63),"")</f>
        <v>56.220499999999987</v>
      </c>
      <c r="S63" s="134" t="s">
        <v>84</v>
      </c>
      <c r="U63" s="19">
        <f>IF(U$50&lt;&gt;"",IF($C63=U$50,$D63,""),"")</f>
        <v>3</v>
      </c>
      <c r="V63" s="19" t="str">
        <f>IF(V$50&lt;&gt;"",IF($C63=V$50,$D63,""),"")</f>
        <v/>
      </c>
      <c r="W63" s="19" t="str">
        <f>IF(W$50&lt;&gt;"",IF($C63=W$50,$D63,""),"")</f>
        <v/>
      </c>
      <c r="X63" s="19" t="str">
        <f>IF(X$50&lt;&gt;"",IF($C63=X$50,$D63,""),"")</f>
        <v/>
      </c>
      <c r="Y63" s="19" t="str">
        <f>IF(Y$50&lt;&gt;"",IF($C63=Y$50,$D63,""),"")</f>
        <v/>
      </c>
      <c r="AG63" s="20"/>
      <c r="AH63" s="20"/>
    </row>
    <row r="64" spans="1:34" s="18" customFormat="1" ht="13.5" customHeight="1" x14ac:dyDescent="0.2">
      <c r="A64" s="138"/>
      <c r="B64" s="74"/>
      <c r="C64" s="76" t="s">
        <v>37</v>
      </c>
      <c r="D64" s="77"/>
      <c r="E64" s="77"/>
      <c r="F64" s="77"/>
      <c r="G64" s="77"/>
      <c r="H64" s="78"/>
      <c r="I64" s="79" t="s">
        <v>38</v>
      </c>
      <c r="J64" s="80"/>
      <c r="K64" s="80"/>
      <c r="L64" s="80"/>
      <c r="M64" s="81"/>
      <c r="N64" s="82" t="s">
        <v>39</v>
      </c>
      <c r="O64" s="83"/>
      <c r="P64" s="83"/>
      <c r="Q64" s="83"/>
      <c r="R64" s="84"/>
      <c r="S64" s="135"/>
      <c r="U64" s="19"/>
      <c r="V64" s="19"/>
      <c r="W64" s="19"/>
      <c r="X64" s="19"/>
      <c r="Y64" s="19"/>
      <c r="AG64" s="20"/>
      <c r="AH64" s="20"/>
    </row>
    <row r="65" spans="1:34" s="18" customFormat="1" ht="13.5" customHeight="1" x14ac:dyDescent="0.2">
      <c r="A65" s="138"/>
      <c r="B65" s="75"/>
      <c r="C65" s="168"/>
      <c r="D65" s="86"/>
      <c r="E65" s="86"/>
      <c r="F65" s="86"/>
      <c r="G65" s="86"/>
      <c r="H65" s="87"/>
      <c r="I65" s="88"/>
      <c r="J65" s="89"/>
      <c r="K65" s="89"/>
      <c r="L65" s="89"/>
      <c r="M65" s="90"/>
      <c r="N65" s="88"/>
      <c r="O65" s="89"/>
      <c r="P65" s="89"/>
      <c r="Q65" s="89"/>
      <c r="R65" s="90"/>
      <c r="S65" s="136"/>
      <c r="U65" s="19"/>
      <c r="V65" s="19"/>
      <c r="W65" s="19"/>
      <c r="X65" s="19"/>
      <c r="Y65" s="19"/>
      <c r="AG65" s="20"/>
      <c r="AH65" s="20"/>
    </row>
    <row r="66" spans="1:34" s="18" customFormat="1" ht="13.5" customHeight="1" x14ac:dyDescent="0.2">
      <c r="A66" s="138"/>
      <c r="B66" s="73">
        <f t="shared" ref="B66" si="68">IF(AND(C66&lt;&gt;"",D66&lt;&gt;""),B63+1,"")</f>
        <v>6</v>
      </c>
      <c r="C66" s="49" t="s">
        <v>44</v>
      </c>
      <c r="D66" s="50">
        <v>20</v>
      </c>
      <c r="E66" s="51">
        <f>IF(C66="","",VLOOKUP(C66,$E$3:$F$7,2,FALSE))</f>
        <v>1.1574074074074073E-3</v>
      </c>
      <c r="F66" s="52">
        <f>IF(AND(G63&lt;&gt;"",C66&lt;&gt;""),G63+I63,"")</f>
        <v>0.62685185185185177</v>
      </c>
      <c r="G66" s="52">
        <f t="shared" ref="G66" si="69">IF(AND(C66&lt;&gt;"",F66&lt;&gt;""),F66+E66*D66,"")</f>
        <v>0.64999999999999991</v>
      </c>
      <c r="H66" s="52">
        <f t="shared" ref="H66" si="70">IF(AND(G66&lt;&gt;"",C66&lt;&gt;""),G66-F66,"")</f>
        <v>2.314814814814814E-2</v>
      </c>
      <c r="I66" s="52">
        <f>IF(H66&lt;&gt;"",$P$4+TIME(0,0,0),"")</f>
        <v>5.5555555555555558E-3</v>
      </c>
      <c r="J66" s="53"/>
      <c r="K66" s="54" t="b">
        <f>IF(C66="","",IF(J66&lt;&gt;"",VLOOKUP(J66,[2]Tires!$D$6:$BJ$75,4,FALSE),K63))</f>
        <v>0</v>
      </c>
      <c r="L66" s="54" t="e">
        <f>IF(C66="","",IF(J66&lt;&gt;"",IF(VLOOKUP(J66,[2]Tires!$D$6:$CH$75,51)&lt;&gt;"",VLOOKUP(J66,[2]Tires!$D$6:$CH$75,51),0),M63))</f>
        <v>#VALUE!</v>
      </c>
      <c r="M66" s="54" t="e">
        <f>IF(AND(G66&lt;&gt;"",C66&lt;&gt;""),L66+D66*[2]Resume!$K$12,"")</f>
        <v>#VALUE!</v>
      </c>
      <c r="N66" s="55"/>
      <c r="O66" s="56" t="str">
        <f>IF(AND(N66&lt;&gt;"",R63&lt;&gt;""),IF(OR(N66="f",N66="Full"),IF([2]Resume!$AS$5=1,Capacity,Capacity*Density)-R63,IF(N66&lt;=IF([2]Resume!$AS$5=1,Capacity,Capacity*Density),N66,IF([2]Resume!$AS$5=1,Capacity,Capacity*Density)))/$O$4,"")</f>
        <v/>
      </c>
      <c r="P66" s="57">
        <f>R63+N66</f>
        <v>56.220499999999987</v>
      </c>
      <c r="Q66" s="57">
        <f t="shared" ref="Q66" si="71">IF(C66&lt;&gt;"",D66*VLOOKUP(C66,$E$3:$H$7,4,FALSE),"")</f>
        <v>56.610000000000007</v>
      </c>
      <c r="R66" s="57">
        <f t="shared" ref="R66" si="72">IF(AND(C66&lt;&gt;"",D66&lt;&gt;"",P66&lt;&gt;""),IF(P66-Q66&lt;=0,0,P66-Q66),"")</f>
        <v>0</v>
      </c>
      <c r="S66" s="134" t="s">
        <v>86</v>
      </c>
      <c r="U66" s="19">
        <f>IF(U$50&lt;&gt;"",IF($C66=U$50,$D66,""),"")</f>
        <v>20</v>
      </c>
      <c r="V66" s="19" t="str">
        <f>IF(V$50&lt;&gt;"",IF($C66=V$50,$D66,""),"")</f>
        <v/>
      </c>
      <c r="W66" s="19" t="str">
        <f>IF(W$50&lt;&gt;"",IF($C66=W$50,$D66,""),"")</f>
        <v/>
      </c>
      <c r="X66" s="19" t="str">
        <f>IF(X$50&lt;&gt;"",IF($C66=X$50,$D66,""),"")</f>
        <v/>
      </c>
      <c r="Y66" s="19" t="str">
        <f>IF(Y$50&lt;&gt;"",IF($C66=Y$50,$D66,""),"")</f>
        <v/>
      </c>
      <c r="AG66" s="20"/>
      <c r="AH66" s="20"/>
    </row>
    <row r="67" spans="1:34" s="18" customFormat="1" ht="13.5" customHeight="1" x14ac:dyDescent="0.2">
      <c r="A67" s="138"/>
      <c r="B67" s="74"/>
      <c r="C67" s="76" t="s">
        <v>37</v>
      </c>
      <c r="D67" s="77"/>
      <c r="E67" s="77"/>
      <c r="F67" s="77"/>
      <c r="G67" s="77"/>
      <c r="H67" s="78"/>
      <c r="I67" s="79" t="s">
        <v>38</v>
      </c>
      <c r="J67" s="80"/>
      <c r="K67" s="80"/>
      <c r="L67" s="80"/>
      <c r="M67" s="81"/>
      <c r="N67" s="82" t="s">
        <v>39</v>
      </c>
      <c r="O67" s="83"/>
      <c r="P67" s="83"/>
      <c r="Q67" s="83"/>
      <c r="R67" s="84"/>
      <c r="S67" s="135"/>
      <c r="U67" s="19"/>
      <c r="V67" s="19"/>
      <c r="W67" s="19"/>
      <c r="X67" s="19"/>
      <c r="Y67" s="19"/>
      <c r="AG67" s="20"/>
      <c r="AH67" s="20"/>
    </row>
    <row r="68" spans="1:34" s="18" customFormat="1" ht="13.5" customHeight="1" x14ac:dyDescent="0.2">
      <c r="A68" s="138"/>
      <c r="B68" s="75"/>
      <c r="C68" s="131"/>
      <c r="D68" s="132"/>
      <c r="E68" s="132"/>
      <c r="F68" s="132"/>
      <c r="G68" s="132"/>
      <c r="H68" s="133"/>
      <c r="I68" s="88"/>
      <c r="J68" s="89"/>
      <c r="K68" s="89"/>
      <c r="L68" s="89"/>
      <c r="M68" s="90"/>
      <c r="N68" s="88"/>
      <c r="O68" s="89"/>
      <c r="P68" s="89"/>
      <c r="Q68" s="89"/>
      <c r="R68" s="90"/>
      <c r="S68" s="136"/>
      <c r="U68" s="19"/>
      <c r="V68" s="19"/>
      <c r="W68" s="19"/>
      <c r="X68" s="19"/>
      <c r="Y68" s="19"/>
      <c r="AG68" s="20"/>
      <c r="AH68" s="20"/>
    </row>
    <row r="69" spans="1:34" s="18" customFormat="1" ht="13.5" customHeight="1" x14ac:dyDescent="0.2">
      <c r="A69" s="138"/>
      <c r="B69" s="73" t="str">
        <f t="shared" ref="B69" si="73">IF(AND(C69&lt;&gt;"",D69&lt;&gt;""),B66+1,"")</f>
        <v/>
      </c>
      <c r="C69" s="49"/>
      <c r="D69" s="50"/>
      <c r="E69" s="51" t="str">
        <f>IF(C69="","",VLOOKUP(C69,$E$3:$F$7,2,FALSE))</f>
        <v/>
      </c>
      <c r="F69" s="52" t="str">
        <f>IF(AND(G66&lt;&gt;"",C69&lt;&gt;""),G66+I66,"")</f>
        <v/>
      </c>
      <c r="G69" s="52" t="str">
        <f t="shared" ref="G69" si="74">IF(AND(C69&lt;&gt;"",F69&lt;&gt;""),F69+E69*D69,"")</f>
        <v/>
      </c>
      <c r="H69" s="52" t="str">
        <f t="shared" ref="H69" si="75">IF(AND(G69&lt;&gt;"",C69&lt;&gt;""),G69-F69,"")</f>
        <v/>
      </c>
      <c r="I69" s="52" t="str">
        <f>IF(H69&lt;&gt;"",$P$4+TIME(0,0,0),"")</f>
        <v/>
      </c>
      <c r="J69" s="53"/>
      <c r="K69" s="54" t="str">
        <f>IF(C69="","",IF(J69&lt;&gt;"",VLOOKUP(J69,[2]Tires!$D$6:$BJ$75,4,FALSE),K66))</f>
        <v/>
      </c>
      <c r="L69" s="54" t="str">
        <f>IF(C69="","",IF(J69&lt;&gt;"",IF(VLOOKUP(J69,[2]Tires!$D$6:$CH$75,51)&lt;&gt;"",VLOOKUP(J69,[2]Tires!$D$6:$CH$75,51),0),M66))</f>
        <v/>
      </c>
      <c r="M69" s="54" t="str">
        <f>IF(AND(G69&lt;&gt;"",C69&lt;&gt;""),L69+D69*[2]Resume!$K$12,"")</f>
        <v/>
      </c>
      <c r="N69" s="55"/>
      <c r="O69" s="56" t="str">
        <f>IF(AND(N69&lt;&gt;"",R66&lt;&gt;""),IF(OR(N69="f",N69="Full"),IF([2]Resume!$AS$5=1,Capacity,Capacity*Density)-R66,IF(N69&lt;=IF([2]Resume!$AS$5=1,Capacity,Capacity*Density),N69,IF([2]Resume!$AS$5=1,Capacity,Capacity*Density)))/$O$4,"")</f>
        <v/>
      </c>
      <c r="P69" s="57">
        <f>R66+N69</f>
        <v>0</v>
      </c>
      <c r="Q69" s="57" t="str">
        <f t="shared" ref="Q69" si="76">IF(C69&lt;&gt;"",D69*VLOOKUP(C69,$E$3:$H$7,4,FALSE),"")</f>
        <v/>
      </c>
      <c r="R69" s="57" t="str">
        <f t="shared" ref="R69" si="77">IF(AND(C69&lt;&gt;"",D69&lt;&gt;"",P69&lt;&gt;""),IF(P69-Q69&lt;=0,0,P69-Q69),"")</f>
        <v/>
      </c>
      <c r="S69" s="128"/>
      <c r="U69" s="19" t="str">
        <f>IF(U$50&lt;&gt;"",IF($C69=U$50,$D69,""),"")</f>
        <v/>
      </c>
      <c r="V69" s="19" t="str">
        <f>IF(V$50&lt;&gt;"",IF($C69=V$50,$D69,""),"")</f>
        <v/>
      </c>
      <c r="W69" s="19" t="str">
        <f>IF(W$50&lt;&gt;"",IF($C69=W$50,$D69,""),"")</f>
        <v/>
      </c>
      <c r="X69" s="19" t="str">
        <f>IF(X$50&lt;&gt;"",IF($C69=X$50,$D69,""),"")</f>
        <v/>
      </c>
      <c r="Y69" s="19" t="str">
        <f>IF(Y$50&lt;&gt;"",IF($C69=Y$50,$D69,""),"")</f>
        <v/>
      </c>
      <c r="AG69" s="20"/>
      <c r="AH69" s="20"/>
    </row>
    <row r="70" spans="1:34" s="18" customFormat="1" ht="13.5" customHeight="1" x14ac:dyDescent="0.2">
      <c r="A70" s="138"/>
      <c r="B70" s="74"/>
      <c r="C70" s="76" t="s">
        <v>37</v>
      </c>
      <c r="D70" s="77"/>
      <c r="E70" s="77"/>
      <c r="F70" s="77"/>
      <c r="G70" s="77"/>
      <c r="H70" s="78"/>
      <c r="I70" s="79" t="s">
        <v>38</v>
      </c>
      <c r="J70" s="80"/>
      <c r="K70" s="80"/>
      <c r="L70" s="80"/>
      <c r="M70" s="81"/>
      <c r="N70" s="82" t="s">
        <v>39</v>
      </c>
      <c r="O70" s="83"/>
      <c r="P70" s="83"/>
      <c r="Q70" s="83"/>
      <c r="R70" s="84"/>
      <c r="S70" s="129"/>
      <c r="U70" s="19"/>
      <c r="V70" s="19"/>
      <c r="W70" s="19"/>
      <c r="X70" s="19"/>
      <c r="Y70" s="19"/>
      <c r="AG70" s="20"/>
      <c r="AH70" s="20"/>
    </row>
    <row r="71" spans="1:34" s="18" customFormat="1" ht="13.5" customHeight="1" x14ac:dyDescent="0.2">
      <c r="A71" s="138"/>
      <c r="B71" s="75"/>
      <c r="C71" s="85"/>
      <c r="D71" s="86"/>
      <c r="E71" s="86"/>
      <c r="F71" s="86"/>
      <c r="G71" s="86"/>
      <c r="H71" s="87"/>
      <c r="I71" s="88"/>
      <c r="J71" s="89"/>
      <c r="K71" s="89"/>
      <c r="L71" s="89"/>
      <c r="M71" s="90"/>
      <c r="N71" s="88"/>
      <c r="O71" s="89"/>
      <c r="P71" s="89"/>
      <c r="Q71" s="89"/>
      <c r="R71" s="90"/>
      <c r="S71" s="130"/>
      <c r="U71" s="19"/>
      <c r="V71" s="19"/>
      <c r="W71" s="19"/>
      <c r="X71" s="19"/>
      <c r="Y71" s="19"/>
      <c r="AG71" s="20"/>
      <c r="AH71" s="20"/>
    </row>
    <row r="72" spans="1:34" s="18" customFormat="1" ht="13.5" customHeight="1" x14ac:dyDescent="0.2">
      <c r="A72" s="138"/>
      <c r="B72" s="73" t="str">
        <f t="shared" ref="B72" si="78">IF(AND(C72&lt;&gt;"",D72&lt;&gt;""),B69+1,"")</f>
        <v/>
      </c>
      <c r="C72" s="49"/>
      <c r="D72" s="50"/>
      <c r="E72" s="51" t="str">
        <f>IF(C72="","",VLOOKUP(C72,$E$3:$F$7,2,FALSE))</f>
        <v/>
      </c>
      <c r="F72" s="52" t="str">
        <f>IF(AND(G69&lt;&gt;"",C72&lt;&gt;""),G69+I69,"")</f>
        <v/>
      </c>
      <c r="G72" s="52" t="str">
        <f t="shared" ref="G72" si="79">IF(AND(C72&lt;&gt;"",F72&lt;&gt;""),F72+E72*D72,"")</f>
        <v/>
      </c>
      <c r="H72" s="52" t="str">
        <f t="shared" ref="H72" si="80">IF(AND(G72&lt;&gt;"",C72&lt;&gt;""),G72-F72,"")</f>
        <v/>
      </c>
      <c r="I72" s="52" t="str">
        <f>IF(H72&lt;&gt;"",$P$4+TIME(0,0,0),"")</f>
        <v/>
      </c>
      <c r="J72" s="53"/>
      <c r="K72" s="54" t="str">
        <f>IF(C72="","",IF(J72&lt;&gt;"",VLOOKUP(J72,[2]Tires!$D$6:$BJ$75,4,FALSE),K69))</f>
        <v/>
      </c>
      <c r="L72" s="54" t="str">
        <f>IF(C72="","",IF(J72&lt;&gt;"",IF(VLOOKUP(J72,[2]Tires!$D$6:$CH$75,51)&lt;&gt;"",VLOOKUP(J72,[2]Tires!$D$6:$CH$75,51),0),M69))</f>
        <v/>
      </c>
      <c r="M72" s="54" t="str">
        <f>IF(AND(G72&lt;&gt;"",C72&lt;&gt;""),L72+D72*[2]Resume!$K$12,"")</f>
        <v/>
      </c>
      <c r="N72" s="55"/>
      <c r="O72" s="56" t="str">
        <f>IF(AND(N72&lt;&gt;"",R69&lt;&gt;""),IF(OR(N72="f",N72="Full"),IF([2]Resume!$AS$5=1,Capacity,Capacity*Density)-R69,IF(N72&lt;=IF([2]Resume!$AS$5=1,Capacity,Capacity*Density),N72,IF([2]Resume!$AS$5=1,Capacity,Capacity*Density)))/$O$4,"")</f>
        <v/>
      </c>
      <c r="P72" s="57" t="e">
        <f>R69+N72</f>
        <v>#VALUE!</v>
      </c>
      <c r="Q72" s="57" t="str">
        <f t="shared" ref="Q72" si="81">IF(C72&lt;&gt;"",D72*VLOOKUP(C72,$E$3:$H$7,4,FALSE),"")</f>
        <v/>
      </c>
      <c r="R72" s="57" t="e">
        <f t="shared" ref="R72" si="82">IF(AND(C72&lt;&gt;"",D72&lt;&gt;"",P72&lt;&gt;""),IF(P72-Q72&lt;=0,0,P72-Q72),"")</f>
        <v>#VALUE!</v>
      </c>
      <c r="S72" s="128"/>
      <c r="U72" s="19" t="str">
        <f>IF(U$50&lt;&gt;"",IF($C72=U$50,$D72,""),"")</f>
        <v/>
      </c>
      <c r="V72" s="19" t="str">
        <f>IF(V$50&lt;&gt;"",IF($C72=V$50,$D72,""),"")</f>
        <v/>
      </c>
      <c r="W72" s="19" t="str">
        <f>IF(W$50&lt;&gt;"",IF($C72=W$50,$D72,""),"")</f>
        <v/>
      </c>
      <c r="X72" s="19" t="str">
        <f>IF(X$50&lt;&gt;"",IF($C72=X$50,$D72,""),"")</f>
        <v/>
      </c>
      <c r="Y72" s="19" t="str">
        <f>IF(Y$50&lt;&gt;"",IF($C72=Y$50,$D72,""),"")</f>
        <v/>
      </c>
      <c r="AG72" s="20"/>
      <c r="AH72" s="20"/>
    </row>
    <row r="73" spans="1:34" s="18" customFormat="1" ht="13.5" customHeight="1" x14ac:dyDescent="0.2">
      <c r="A73" s="138"/>
      <c r="B73" s="74"/>
      <c r="C73" s="76" t="s">
        <v>37</v>
      </c>
      <c r="D73" s="77"/>
      <c r="E73" s="77"/>
      <c r="F73" s="77"/>
      <c r="G73" s="77"/>
      <c r="H73" s="78"/>
      <c r="I73" s="79" t="s">
        <v>38</v>
      </c>
      <c r="J73" s="80"/>
      <c r="K73" s="80"/>
      <c r="L73" s="80"/>
      <c r="M73" s="81"/>
      <c r="N73" s="82" t="s">
        <v>39</v>
      </c>
      <c r="O73" s="83"/>
      <c r="P73" s="83"/>
      <c r="Q73" s="83"/>
      <c r="R73" s="84"/>
      <c r="S73" s="129"/>
      <c r="U73" s="19"/>
      <c r="V73" s="19"/>
      <c r="W73" s="19"/>
      <c r="X73" s="19"/>
      <c r="Y73" s="19"/>
      <c r="AG73" s="20"/>
      <c r="AH73" s="20"/>
    </row>
    <row r="74" spans="1:34" s="18" customFormat="1" ht="13.5" customHeight="1" x14ac:dyDescent="0.2">
      <c r="A74" s="138"/>
      <c r="B74" s="75"/>
      <c r="C74" s="85"/>
      <c r="D74" s="86"/>
      <c r="E74" s="86"/>
      <c r="F74" s="86"/>
      <c r="G74" s="86"/>
      <c r="H74" s="87"/>
      <c r="I74" s="88"/>
      <c r="J74" s="89"/>
      <c r="K74" s="89"/>
      <c r="L74" s="89"/>
      <c r="M74" s="90"/>
      <c r="N74" s="91"/>
      <c r="O74" s="92"/>
      <c r="P74" s="92"/>
      <c r="Q74" s="92"/>
      <c r="R74" s="93"/>
      <c r="S74" s="130"/>
      <c r="U74" s="19"/>
      <c r="V74" s="19"/>
      <c r="W74" s="19"/>
      <c r="X74" s="19"/>
      <c r="Y74" s="19"/>
      <c r="AG74" s="20"/>
      <c r="AH74" s="20"/>
    </row>
    <row r="75" spans="1:34" s="18" customFormat="1" ht="13.5" customHeight="1" x14ac:dyDescent="0.2">
      <c r="A75" s="138"/>
      <c r="B75" s="73" t="str">
        <f t="shared" ref="B75" si="83">IF(AND(C75&lt;&gt;"",D75&lt;&gt;""),B72+1,"")</f>
        <v/>
      </c>
      <c r="C75" s="49"/>
      <c r="D75" s="50"/>
      <c r="E75" s="51" t="str">
        <f>IF(C75="","",VLOOKUP(C75,$E$3:$F$7,2,FALSE))</f>
        <v/>
      </c>
      <c r="F75" s="52" t="str">
        <f>IF(AND(G72&lt;&gt;"",C75&lt;&gt;""),G72+I72,"")</f>
        <v/>
      </c>
      <c r="G75" s="52" t="str">
        <f t="shared" ref="G75" si="84">IF(AND(C75&lt;&gt;"",F75&lt;&gt;""),F75+E75*D75,"")</f>
        <v/>
      </c>
      <c r="H75" s="52" t="str">
        <f t="shared" ref="H75" si="85">IF(AND(G75&lt;&gt;"",C75&lt;&gt;""),G75-F75,"")</f>
        <v/>
      </c>
      <c r="I75" s="52" t="str">
        <f>IF(H75&lt;&gt;"",$P$4+TIME(0,0,0),"")</f>
        <v/>
      </c>
      <c r="J75" s="53"/>
      <c r="K75" s="54" t="str">
        <f>IF(C75="","",IF(J75&lt;&gt;"",VLOOKUP(J75,[2]Tires!$D$6:$BJ$75,4,FALSE),K72))</f>
        <v/>
      </c>
      <c r="L75" s="54" t="str">
        <f>IF(C75="","",IF(J75&lt;&gt;"",IF(VLOOKUP(J75,[2]Tires!$D$6:$CH$75,51)&lt;&gt;"",VLOOKUP(J75,[2]Tires!$D$6:$CH$75,51),0),M72))</f>
        <v/>
      </c>
      <c r="M75" s="54" t="str">
        <f>IF(AND(G75&lt;&gt;"",C75&lt;&gt;""),L75+D75*[2]Resume!$K$12,"")</f>
        <v/>
      </c>
      <c r="N75" s="55"/>
      <c r="O75" s="56" t="e">
        <f>IF(AND(N75&lt;&gt;"",R72&lt;&gt;""),IF(OR(N75="f",N75="Full"),IF([2]Resume!$AS$5=1,Capacity,Capacity*Density)-R72,IF(N75&lt;=IF([2]Resume!$AS$5=1,Capacity,Capacity*Density),N75,IF([2]Resume!$AS$5=1,Capacity,Capacity*Density)))/$O$4,"")</f>
        <v>#VALUE!</v>
      </c>
      <c r="P75" s="57" t="e">
        <f>R72+N75</f>
        <v>#VALUE!</v>
      </c>
      <c r="Q75" s="57" t="str">
        <f t="shared" ref="Q75" si="86">IF(C75&lt;&gt;"",D75*VLOOKUP(C75,$E$3:$H$7,4,FALSE),"")</f>
        <v/>
      </c>
      <c r="R75" s="57" t="e">
        <f t="shared" ref="R75" si="87">IF(AND(C75&lt;&gt;"",D75&lt;&gt;"",P75&lt;&gt;""),IF(P75-Q75&lt;=0,0,P75-Q75),"")</f>
        <v>#VALUE!</v>
      </c>
      <c r="S75" s="134"/>
      <c r="U75" s="19" t="str">
        <f>IF(U$50&lt;&gt;"",IF($C75=U$50,$D75,""),"")</f>
        <v/>
      </c>
      <c r="V75" s="19" t="str">
        <f>IF(V$50&lt;&gt;"",IF($C75=V$50,$D75,""),"")</f>
        <v/>
      </c>
      <c r="W75" s="19" t="str">
        <f>IF(W$50&lt;&gt;"",IF($C75=W$50,$D75,""),"")</f>
        <v/>
      </c>
      <c r="X75" s="19" t="str">
        <f>IF(X$50&lt;&gt;"",IF($C75=X$50,$D75,""),"")</f>
        <v/>
      </c>
      <c r="Y75" s="19" t="str">
        <f>IF(Y$50&lt;&gt;"",IF($C75=Y$50,$D75,""),"")</f>
        <v/>
      </c>
      <c r="AG75" s="20"/>
      <c r="AH75" s="20"/>
    </row>
    <row r="76" spans="1:34" ht="13.5" customHeight="1" x14ac:dyDescent="0.25">
      <c r="A76" s="138"/>
      <c r="B76" s="74"/>
      <c r="C76" s="76" t="s">
        <v>37</v>
      </c>
      <c r="D76" s="77"/>
      <c r="E76" s="77"/>
      <c r="F76" s="77"/>
      <c r="G76" s="77"/>
      <c r="H76" s="78"/>
      <c r="I76" s="79" t="s">
        <v>38</v>
      </c>
      <c r="J76" s="80"/>
      <c r="K76" s="80"/>
      <c r="L76" s="80"/>
      <c r="M76" s="81"/>
      <c r="N76" s="82" t="s">
        <v>39</v>
      </c>
      <c r="O76" s="83"/>
      <c r="P76" s="83"/>
      <c r="Q76" s="83"/>
      <c r="R76" s="84"/>
      <c r="S76" s="135"/>
      <c r="T76" s="18"/>
      <c r="U76" s="19"/>
      <c r="V76" s="19"/>
      <c r="W76" s="19"/>
      <c r="X76" s="19"/>
      <c r="Y76" s="19"/>
      <c r="Z76" s="18"/>
      <c r="AA76" s="18"/>
      <c r="AB76" s="18"/>
      <c r="AC76" s="18"/>
      <c r="AD76" s="18"/>
      <c r="AE76" s="18"/>
      <c r="AF76" s="18"/>
      <c r="AG76" s="20"/>
      <c r="AH76" s="20"/>
    </row>
    <row r="77" spans="1:34" ht="13.5" customHeight="1" x14ac:dyDescent="0.25">
      <c r="A77" s="138"/>
      <c r="B77" s="75"/>
      <c r="C77" s="85"/>
      <c r="D77" s="86"/>
      <c r="E77" s="86"/>
      <c r="F77" s="86"/>
      <c r="G77" s="86"/>
      <c r="H77" s="87"/>
      <c r="I77" s="88"/>
      <c r="J77" s="89"/>
      <c r="K77" s="89"/>
      <c r="L77" s="89"/>
      <c r="M77" s="90"/>
      <c r="N77" s="91"/>
      <c r="O77" s="92"/>
      <c r="P77" s="92"/>
      <c r="Q77" s="92"/>
      <c r="R77" s="93"/>
      <c r="S77" s="136"/>
      <c r="T77" s="18"/>
      <c r="U77" s="19"/>
      <c r="V77" s="19"/>
      <c r="W77" s="19"/>
      <c r="X77" s="19"/>
      <c r="Y77" s="19"/>
      <c r="Z77" s="18"/>
      <c r="AA77" s="18"/>
      <c r="AB77" s="18"/>
      <c r="AC77" s="18"/>
      <c r="AD77" s="18"/>
      <c r="AE77" s="18"/>
      <c r="AF77" s="18"/>
      <c r="AG77" s="20"/>
      <c r="AH77" s="20"/>
    </row>
    <row r="78" spans="1:34" s="18" customFormat="1" ht="13.5" customHeight="1" x14ac:dyDescent="0.2">
      <c r="A78" s="138"/>
      <c r="B78" s="73" t="str">
        <f t="shared" ref="B78" si="88">IF(AND(C78&lt;&gt;"",D78&lt;&gt;""),B75+1,"")</f>
        <v/>
      </c>
      <c r="C78" s="49"/>
      <c r="D78" s="50"/>
      <c r="E78" s="51" t="str">
        <f>IF(C78="","",VLOOKUP(C78,$E$3:$F$7,2,FALSE))</f>
        <v/>
      </c>
      <c r="F78" s="52" t="str">
        <f>IF(AND(G75&lt;&gt;"",C78&lt;&gt;""),G75+I75,"")</f>
        <v/>
      </c>
      <c r="G78" s="52" t="str">
        <f t="shared" ref="G78" si="89">IF(AND(C78&lt;&gt;"",F78&lt;&gt;""),F78+E78*D78,"")</f>
        <v/>
      </c>
      <c r="H78" s="52" t="str">
        <f t="shared" ref="H78" si="90">IF(AND(G78&lt;&gt;"",C78&lt;&gt;""),G78-F78,"")</f>
        <v/>
      </c>
      <c r="I78" s="52" t="str">
        <f>IF(H78&lt;&gt;"",$P$4+TIME(0,0,0),"")</f>
        <v/>
      </c>
      <c r="J78" s="53"/>
      <c r="K78" s="54" t="str">
        <f>IF(C78="","",IF(J78&lt;&gt;"",VLOOKUP(J78,[2]Tires!$D$6:$BJ$75,4,FALSE),K75))</f>
        <v/>
      </c>
      <c r="L78" s="54" t="str">
        <f>IF(C78="","",IF(J78&lt;&gt;"",IF(VLOOKUP(J78,[2]Tires!$D$6:$CH$75,51)&lt;&gt;"",VLOOKUP(J78,[2]Tires!$D$6:$CH$75,51),0),M75))</f>
        <v/>
      </c>
      <c r="M78" s="54" t="str">
        <f>IF(AND(G78&lt;&gt;"",C78&lt;&gt;""),L78+D78*[2]Resume!$K$12,"")</f>
        <v/>
      </c>
      <c r="N78" s="55"/>
      <c r="O78" s="56" t="e">
        <f>IF(AND(N78&lt;&gt;"",R75&lt;&gt;""),IF(OR(N78="f",N78="Full"),IF([2]Resume!$AS$5=1,Capacity,Capacity*Density)-R75,IF(N78&lt;=IF([2]Resume!$AS$5=1,Capacity,Capacity*Density),N78,IF([2]Resume!$AS$5=1,Capacity,Capacity*Density)))/$O$4,"")</f>
        <v>#VALUE!</v>
      </c>
      <c r="P78" s="57" t="e">
        <f>R75+N78</f>
        <v>#VALUE!</v>
      </c>
      <c r="Q78" s="57" t="str">
        <f t="shared" ref="Q78" si="91">IF(C78&lt;&gt;"",D78*VLOOKUP(C78,$E$3:$H$7,4,FALSE),"")</f>
        <v/>
      </c>
      <c r="R78" s="57" t="e">
        <f t="shared" ref="R78" si="92">IF(AND(C78&lt;&gt;"",D78&lt;&gt;"",P78&lt;&gt;""),IF(P78-Q78&lt;=0,0,P78-Q78),"")</f>
        <v>#VALUE!</v>
      </c>
      <c r="S78" s="125"/>
      <c r="U78" s="19" t="str">
        <f>IF(U$50&lt;&gt;"",IF($C78=U$50,$D78,""),"")</f>
        <v/>
      </c>
      <c r="V78" s="19" t="str">
        <f>IF(V$50&lt;&gt;"",IF($C78=V$50,$D78,""),"")</f>
        <v/>
      </c>
      <c r="W78" s="19" t="str">
        <f>IF(W$50&lt;&gt;"",IF($C78=W$50,$D78,""),"")</f>
        <v/>
      </c>
      <c r="X78" s="19" t="str">
        <f>IF(X$50&lt;&gt;"",IF($C78=X$50,$D78,""),"")</f>
        <v/>
      </c>
      <c r="Y78" s="19" t="str">
        <f>IF(Y$50&lt;&gt;"",IF($C78=Y$50,$D78,""),"")</f>
        <v/>
      </c>
      <c r="AG78" s="20"/>
      <c r="AH78" s="20"/>
    </row>
    <row r="79" spans="1:34" ht="13.5" customHeight="1" x14ac:dyDescent="0.25">
      <c r="A79" s="138"/>
      <c r="B79" s="74"/>
      <c r="C79" s="76" t="s">
        <v>37</v>
      </c>
      <c r="D79" s="77"/>
      <c r="E79" s="77"/>
      <c r="F79" s="77"/>
      <c r="G79" s="77"/>
      <c r="H79" s="78"/>
      <c r="I79" s="79" t="s">
        <v>38</v>
      </c>
      <c r="J79" s="80"/>
      <c r="K79" s="80"/>
      <c r="L79" s="80"/>
      <c r="M79" s="81"/>
      <c r="N79" s="82" t="s">
        <v>39</v>
      </c>
      <c r="O79" s="83"/>
      <c r="P79" s="83"/>
      <c r="Q79" s="83"/>
      <c r="R79" s="84"/>
      <c r="S79" s="126"/>
      <c r="T79" s="18"/>
      <c r="U79" s="19"/>
      <c r="V79" s="19"/>
      <c r="W79" s="19"/>
      <c r="X79" s="19"/>
      <c r="Y79" s="19"/>
      <c r="Z79" s="18"/>
      <c r="AA79" s="18"/>
      <c r="AB79" s="18"/>
      <c r="AC79" s="18"/>
      <c r="AD79" s="18"/>
      <c r="AE79" s="18"/>
      <c r="AF79" s="18"/>
      <c r="AG79" s="20"/>
      <c r="AH79" s="20"/>
    </row>
    <row r="80" spans="1:34" ht="13.5" customHeight="1" x14ac:dyDescent="0.25">
      <c r="A80" s="138"/>
      <c r="B80" s="75"/>
      <c r="C80" s="85"/>
      <c r="D80" s="86"/>
      <c r="E80" s="86"/>
      <c r="F80" s="86"/>
      <c r="G80" s="86"/>
      <c r="H80" s="87"/>
      <c r="I80" s="88"/>
      <c r="J80" s="89"/>
      <c r="K80" s="89"/>
      <c r="L80" s="89"/>
      <c r="M80" s="90"/>
      <c r="N80" s="91"/>
      <c r="O80" s="92"/>
      <c r="P80" s="92"/>
      <c r="Q80" s="92"/>
      <c r="R80" s="93"/>
      <c r="S80" s="127"/>
      <c r="T80" s="18"/>
      <c r="U80" s="19"/>
      <c r="V80" s="19"/>
      <c r="W80" s="19"/>
      <c r="X80" s="19"/>
      <c r="Y80" s="19"/>
      <c r="Z80" s="18"/>
      <c r="AA80" s="18"/>
      <c r="AB80" s="18"/>
      <c r="AC80" s="18"/>
      <c r="AD80" s="18"/>
      <c r="AE80" s="18"/>
      <c r="AF80" s="18"/>
      <c r="AG80" s="20"/>
      <c r="AH80" s="20"/>
    </row>
  </sheetData>
  <mergeCells count="247">
    <mergeCell ref="B44:B46"/>
    <mergeCell ref="S44:S46"/>
    <mergeCell ref="C45:H45"/>
    <mergeCell ref="I45:M45"/>
    <mergeCell ref="N45:R45"/>
    <mergeCell ref="C46:H46"/>
    <mergeCell ref="I46:M46"/>
    <mergeCell ref="N46:R46"/>
    <mergeCell ref="A9:A46"/>
    <mergeCell ref="E1:E2"/>
    <mergeCell ref="F1:F2"/>
    <mergeCell ref="G1:H1"/>
    <mergeCell ref="I1:I2"/>
    <mergeCell ref="K2:L2"/>
    <mergeCell ref="N5:O5"/>
    <mergeCell ref="B41:B43"/>
    <mergeCell ref="S41:S43"/>
    <mergeCell ref="C42:H42"/>
    <mergeCell ref="I42:M42"/>
    <mergeCell ref="N42:R42"/>
    <mergeCell ref="C43:H43"/>
    <mergeCell ref="I43:M43"/>
    <mergeCell ref="N43:R43"/>
    <mergeCell ref="B9:B10"/>
    <mergeCell ref="C9:C10"/>
    <mergeCell ref="D9:D10"/>
    <mergeCell ref="E9:E10"/>
    <mergeCell ref="F9:F10"/>
    <mergeCell ref="B11:B13"/>
    <mergeCell ref="B14:B16"/>
    <mergeCell ref="B17:B19"/>
    <mergeCell ref="B23:B25"/>
    <mergeCell ref="N9:R9"/>
    <mergeCell ref="S9:S10"/>
    <mergeCell ref="Z9:AC9"/>
    <mergeCell ref="AD9:AF9"/>
    <mergeCell ref="Z10:AC10"/>
    <mergeCell ref="AD10:AF10"/>
    <mergeCell ref="G9:G10"/>
    <mergeCell ref="H9:H10"/>
    <mergeCell ref="I9:I10"/>
    <mergeCell ref="J9:J10"/>
    <mergeCell ref="K9:K10"/>
    <mergeCell ref="L9:M9"/>
    <mergeCell ref="S14:S16"/>
    <mergeCell ref="AA14:AF15"/>
    <mergeCell ref="C15:H15"/>
    <mergeCell ref="I15:M15"/>
    <mergeCell ref="N15:R15"/>
    <mergeCell ref="C16:H16"/>
    <mergeCell ref="I16:M16"/>
    <mergeCell ref="N16:R16"/>
    <mergeCell ref="S11:S13"/>
    <mergeCell ref="C12:H12"/>
    <mergeCell ref="I12:M12"/>
    <mergeCell ref="N12:R12"/>
    <mergeCell ref="C13:H13"/>
    <mergeCell ref="I13:M13"/>
    <mergeCell ref="N13:R13"/>
    <mergeCell ref="B20:B22"/>
    <mergeCell ref="S20:S22"/>
    <mergeCell ref="AA20:AC20"/>
    <mergeCell ref="AD20:AF20"/>
    <mergeCell ref="C21:H21"/>
    <mergeCell ref="I21:M21"/>
    <mergeCell ref="N21:R21"/>
    <mergeCell ref="S17:S19"/>
    <mergeCell ref="Z17:AC17"/>
    <mergeCell ref="AD17:AF17"/>
    <mergeCell ref="C18:H18"/>
    <mergeCell ref="I18:M18"/>
    <mergeCell ref="N18:R18"/>
    <mergeCell ref="AA18:AC18"/>
    <mergeCell ref="AD18:AF18"/>
    <mergeCell ref="C19:H19"/>
    <mergeCell ref="I19:M19"/>
    <mergeCell ref="AA21:AC21"/>
    <mergeCell ref="AD21:AF21"/>
    <mergeCell ref="C22:H22"/>
    <mergeCell ref="I22:M22"/>
    <mergeCell ref="N22:R22"/>
    <mergeCell ref="AA22:AC22"/>
    <mergeCell ref="AD22:AF22"/>
    <mergeCell ref="N19:R19"/>
    <mergeCell ref="AA19:AC19"/>
    <mergeCell ref="AD19:AF19"/>
    <mergeCell ref="B26:B28"/>
    <mergeCell ref="S26:S28"/>
    <mergeCell ref="C27:H27"/>
    <mergeCell ref="I27:M27"/>
    <mergeCell ref="N27:R27"/>
    <mergeCell ref="C28:H28"/>
    <mergeCell ref="I28:M28"/>
    <mergeCell ref="N28:R28"/>
    <mergeCell ref="S23:S25"/>
    <mergeCell ref="C24:H24"/>
    <mergeCell ref="I24:M24"/>
    <mergeCell ref="N24:R24"/>
    <mergeCell ref="C25:H25"/>
    <mergeCell ref="I25:M25"/>
    <mergeCell ref="N25:R25"/>
    <mergeCell ref="B32:B34"/>
    <mergeCell ref="S32:S34"/>
    <mergeCell ref="C33:H33"/>
    <mergeCell ref="I33:M33"/>
    <mergeCell ref="N33:R33"/>
    <mergeCell ref="C34:H34"/>
    <mergeCell ref="I34:M34"/>
    <mergeCell ref="N34:R34"/>
    <mergeCell ref="B29:B31"/>
    <mergeCell ref="S29:S31"/>
    <mergeCell ref="C30:H30"/>
    <mergeCell ref="I30:M30"/>
    <mergeCell ref="N30:R30"/>
    <mergeCell ref="C31:H31"/>
    <mergeCell ref="I31:M31"/>
    <mergeCell ref="N31:R31"/>
    <mergeCell ref="B38:B40"/>
    <mergeCell ref="S38:S40"/>
    <mergeCell ref="C39:H39"/>
    <mergeCell ref="I39:M39"/>
    <mergeCell ref="N39:R39"/>
    <mergeCell ref="C40:H40"/>
    <mergeCell ref="I40:M40"/>
    <mergeCell ref="N40:R40"/>
    <mergeCell ref="B35:B37"/>
    <mergeCell ref="S35:S37"/>
    <mergeCell ref="C36:H36"/>
    <mergeCell ref="I36:M36"/>
    <mergeCell ref="N36:R36"/>
    <mergeCell ref="C37:H37"/>
    <mergeCell ref="I37:M37"/>
    <mergeCell ref="N37:R37"/>
    <mergeCell ref="A49:A80"/>
    <mergeCell ref="B49:B50"/>
    <mergeCell ref="C49:C50"/>
    <mergeCell ref="D49:D50"/>
    <mergeCell ref="E49:E50"/>
    <mergeCell ref="F49:F50"/>
    <mergeCell ref="B51:B53"/>
    <mergeCell ref="B57:B59"/>
    <mergeCell ref="B63:B65"/>
    <mergeCell ref="B66:B68"/>
    <mergeCell ref="N49:R49"/>
    <mergeCell ref="S49:S50"/>
    <mergeCell ref="Z49:AC49"/>
    <mergeCell ref="AD49:AF49"/>
    <mergeCell ref="Z50:AC50"/>
    <mergeCell ref="AD50:AF50"/>
    <mergeCell ref="G49:G50"/>
    <mergeCell ref="H49:H50"/>
    <mergeCell ref="I49:I50"/>
    <mergeCell ref="J49:J50"/>
    <mergeCell ref="K49:K50"/>
    <mergeCell ref="L49:M49"/>
    <mergeCell ref="Z51:AC51"/>
    <mergeCell ref="AD51:AF51"/>
    <mergeCell ref="C52:H52"/>
    <mergeCell ref="I52:M52"/>
    <mergeCell ref="N52:R52"/>
    <mergeCell ref="Z52:AC52"/>
    <mergeCell ref="AD52:AF52"/>
    <mergeCell ref="C53:H53"/>
    <mergeCell ref="I53:M53"/>
    <mergeCell ref="N53:R53"/>
    <mergeCell ref="B54:B56"/>
    <mergeCell ref="S54:S56"/>
    <mergeCell ref="C55:H55"/>
    <mergeCell ref="I55:M55"/>
    <mergeCell ref="N55:R55"/>
    <mergeCell ref="C56:H56"/>
    <mergeCell ref="I56:M56"/>
    <mergeCell ref="N56:R56"/>
    <mergeCell ref="S51:S53"/>
    <mergeCell ref="B60:B62"/>
    <mergeCell ref="S60:S62"/>
    <mergeCell ref="AA60:AC60"/>
    <mergeCell ref="AD60:AF60"/>
    <mergeCell ref="C61:H61"/>
    <mergeCell ref="I61:M61"/>
    <mergeCell ref="N61:R61"/>
    <mergeCell ref="S57:S59"/>
    <mergeCell ref="Z57:AC57"/>
    <mergeCell ref="AD57:AF57"/>
    <mergeCell ref="C58:H58"/>
    <mergeCell ref="I58:M58"/>
    <mergeCell ref="N58:R58"/>
    <mergeCell ref="AA58:AC58"/>
    <mergeCell ref="AD58:AF58"/>
    <mergeCell ref="C59:H59"/>
    <mergeCell ref="I59:M59"/>
    <mergeCell ref="AA61:AC61"/>
    <mergeCell ref="AD61:AF61"/>
    <mergeCell ref="C62:H62"/>
    <mergeCell ref="I62:M62"/>
    <mergeCell ref="N62:R62"/>
    <mergeCell ref="AA62:AC62"/>
    <mergeCell ref="AD62:AF62"/>
    <mergeCell ref="N59:R59"/>
    <mergeCell ref="AA59:AC59"/>
    <mergeCell ref="AD59:AF59"/>
    <mergeCell ref="S66:S68"/>
    <mergeCell ref="C67:H67"/>
    <mergeCell ref="I67:M67"/>
    <mergeCell ref="N67:R67"/>
    <mergeCell ref="C68:H68"/>
    <mergeCell ref="I68:M68"/>
    <mergeCell ref="N68:R68"/>
    <mergeCell ref="S63:S65"/>
    <mergeCell ref="C64:H64"/>
    <mergeCell ref="I64:M64"/>
    <mergeCell ref="N64:R64"/>
    <mergeCell ref="C65:H65"/>
    <mergeCell ref="I65:M65"/>
    <mergeCell ref="N65:R65"/>
    <mergeCell ref="B72:B74"/>
    <mergeCell ref="S72:S74"/>
    <mergeCell ref="C73:H73"/>
    <mergeCell ref="I73:M73"/>
    <mergeCell ref="N73:R73"/>
    <mergeCell ref="C74:H74"/>
    <mergeCell ref="I74:M74"/>
    <mergeCell ref="N74:R74"/>
    <mergeCell ref="B69:B71"/>
    <mergeCell ref="S69:S71"/>
    <mergeCell ref="C70:H70"/>
    <mergeCell ref="I70:M70"/>
    <mergeCell ref="N70:R70"/>
    <mergeCell ref="C71:H71"/>
    <mergeCell ref="I71:M71"/>
    <mergeCell ref="N71:R71"/>
    <mergeCell ref="B78:B80"/>
    <mergeCell ref="S78:S80"/>
    <mergeCell ref="C79:H79"/>
    <mergeCell ref="I79:M79"/>
    <mergeCell ref="N79:R79"/>
    <mergeCell ref="C80:H80"/>
    <mergeCell ref="I80:M80"/>
    <mergeCell ref="N80:R80"/>
    <mergeCell ref="B75:B77"/>
    <mergeCell ref="S75:S77"/>
    <mergeCell ref="C76:H76"/>
    <mergeCell ref="I76:M76"/>
    <mergeCell ref="N76:R76"/>
    <mergeCell ref="C77:H77"/>
    <mergeCell ref="I77:M77"/>
    <mergeCell ref="N77:R77"/>
  </mergeCells>
  <conditionalFormatting sqref="P11:R11 Q14:R14">
    <cfRule type="cellIs" dxfId="369" priority="379" operator="lessThan">
      <formula>5</formula>
    </cfRule>
  </conditionalFormatting>
  <conditionalFormatting sqref="F11:G11 F14:G14">
    <cfRule type="containsBlanks" dxfId="368" priority="378" stopIfTrue="1">
      <formula>LEN(TRIM(F11))=0</formula>
    </cfRule>
  </conditionalFormatting>
  <conditionalFormatting sqref="P14">
    <cfRule type="cellIs" dxfId="367" priority="377" operator="lessThan">
      <formula>5</formula>
    </cfRule>
  </conditionalFormatting>
  <conditionalFormatting sqref="AA60:AC62">
    <cfRule type="cellIs" dxfId="366" priority="362" operator="equal">
      <formula>0</formula>
    </cfRule>
  </conditionalFormatting>
  <conditionalFormatting sqref="AD18:AF18">
    <cfRule type="cellIs" dxfId="365" priority="376" operator="equal">
      <formula>0</formula>
    </cfRule>
  </conditionalFormatting>
  <conditionalFormatting sqref="AD20:AF22">
    <cfRule type="cellIs" dxfId="363" priority="375" operator="equal">
      <formula>0</formula>
    </cfRule>
  </conditionalFormatting>
  <conditionalFormatting sqref="AD19:AF19">
    <cfRule type="cellIs" dxfId="361" priority="374" operator="equal">
      <formula>0</formula>
    </cfRule>
  </conditionalFormatting>
  <conditionalFormatting sqref="AD58:AF62">
    <cfRule type="cellIs" dxfId="359" priority="373" operator="equal">
      <formula>0</formula>
    </cfRule>
  </conditionalFormatting>
  <conditionalFormatting sqref="AA59:AC59">
    <cfRule type="cellIs" dxfId="357" priority="361" operator="equal">
      <formula>0</formula>
    </cfRule>
  </conditionalFormatting>
  <conditionalFormatting sqref="AA58:AC58">
    <cfRule type="cellIs" dxfId="354" priority="363" operator="equal">
      <formula>0</formula>
    </cfRule>
  </conditionalFormatting>
  <conditionalFormatting sqref="AA19:AC19">
    <cfRule type="cellIs" dxfId="352" priority="364" operator="equal">
      <formula>0</formula>
    </cfRule>
  </conditionalFormatting>
  <conditionalFormatting sqref="AA20:AC22">
    <cfRule type="cellIs" dxfId="350" priority="365" operator="equal">
      <formula>0</formula>
    </cfRule>
  </conditionalFormatting>
  <conditionalFormatting sqref="AA18:AC18">
    <cfRule type="cellIs" dxfId="348" priority="366" operator="equal">
      <formula>0</formula>
    </cfRule>
  </conditionalFormatting>
  <conditionalFormatting sqref="Q17:R17">
    <cfRule type="cellIs" dxfId="332" priority="342" operator="lessThan">
      <formula>5</formula>
    </cfRule>
  </conditionalFormatting>
  <conditionalFormatting sqref="G17">
    <cfRule type="containsBlanks" dxfId="331" priority="341" stopIfTrue="1">
      <formula>LEN(TRIM(G17))=0</formula>
    </cfRule>
  </conditionalFormatting>
  <conditionalFormatting sqref="Q20:R20">
    <cfRule type="cellIs" dxfId="330" priority="340" operator="lessThan">
      <formula>5</formula>
    </cfRule>
  </conditionalFormatting>
  <conditionalFormatting sqref="G20">
    <cfRule type="containsBlanks" dxfId="329" priority="339" stopIfTrue="1">
      <formula>LEN(TRIM(G20))=0</formula>
    </cfRule>
  </conditionalFormatting>
  <conditionalFormatting sqref="Q23:R23">
    <cfRule type="cellIs" dxfId="328" priority="338" operator="lessThan">
      <formula>5</formula>
    </cfRule>
  </conditionalFormatting>
  <conditionalFormatting sqref="G23">
    <cfRule type="containsBlanks" dxfId="327" priority="337" stopIfTrue="1">
      <formula>LEN(TRIM(G23))=0</formula>
    </cfRule>
  </conditionalFormatting>
  <conditionalFormatting sqref="Q26:R26">
    <cfRule type="cellIs" dxfId="326" priority="336" operator="lessThan">
      <formula>5</formula>
    </cfRule>
  </conditionalFormatting>
  <conditionalFormatting sqref="G26">
    <cfRule type="containsBlanks" dxfId="325" priority="335" stopIfTrue="1">
      <formula>LEN(TRIM(G26))=0</formula>
    </cfRule>
  </conditionalFormatting>
  <conditionalFormatting sqref="Q29:R29">
    <cfRule type="cellIs" dxfId="324" priority="334" operator="lessThan">
      <formula>5</formula>
    </cfRule>
  </conditionalFormatting>
  <conditionalFormatting sqref="G29">
    <cfRule type="containsBlanks" dxfId="323" priority="333" stopIfTrue="1">
      <formula>LEN(TRIM(G29))=0</formula>
    </cfRule>
  </conditionalFormatting>
  <conditionalFormatting sqref="Q35:R35">
    <cfRule type="cellIs" dxfId="322" priority="332" operator="lessThan">
      <formula>5</formula>
    </cfRule>
  </conditionalFormatting>
  <conditionalFormatting sqref="G35">
    <cfRule type="containsBlanks" dxfId="321" priority="331" stopIfTrue="1">
      <formula>LEN(TRIM(G35))=0</formula>
    </cfRule>
  </conditionalFormatting>
  <conditionalFormatting sqref="Q38:R38">
    <cfRule type="cellIs" dxfId="320" priority="330" operator="lessThan">
      <formula>5</formula>
    </cfRule>
  </conditionalFormatting>
  <conditionalFormatting sqref="G38">
    <cfRule type="containsBlanks" dxfId="319" priority="329" stopIfTrue="1">
      <formula>LEN(TRIM(G38))=0</formula>
    </cfRule>
  </conditionalFormatting>
  <conditionalFormatting sqref="P51:R51 Q54:R54">
    <cfRule type="cellIs" dxfId="318" priority="328" operator="lessThan">
      <formula>5</formula>
    </cfRule>
  </conditionalFormatting>
  <conditionalFormatting sqref="F51:G51 G54">
    <cfRule type="containsBlanks" dxfId="317" priority="327" stopIfTrue="1">
      <formula>LEN(TRIM(F51))=0</formula>
    </cfRule>
  </conditionalFormatting>
  <conditionalFormatting sqref="Q57:R57">
    <cfRule type="cellIs" dxfId="316" priority="326" operator="lessThan">
      <formula>5</formula>
    </cfRule>
  </conditionalFormatting>
  <conditionalFormatting sqref="G57">
    <cfRule type="containsBlanks" dxfId="315" priority="325" stopIfTrue="1">
      <formula>LEN(TRIM(G57))=0</formula>
    </cfRule>
  </conditionalFormatting>
  <conditionalFormatting sqref="Q63:R63">
    <cfRule type="cellIs" dxfId="314" priority="324" operator="lessThan">
      <formula>5</formula>
    </cfRule>
  </conditionalFormatting>
  <conditionalFormatting sqref="Q66:R66">
    <cfRule type="cellIs" dxfId="313" priority="323" operator="lessThan">
      <formula>5</formula>
    </cfRule>
  </conditionalFormatting>
  <conditionalFormatting sqref="Q69:R69">
    <cfRule type="cellIs" dxfId="312" priority="322" operator="lessThan">
      <formula>5</formula>
    </cfRule>
  </conditionalFormatting>
  <conditionalFormatting sqref="Q72:R72">
    <cfRule type="cellIs" dxfId="311" priority="321" operator="lessThan">
      <formula>5</formula>
    </cfRule>
  </conditionalFormatting>
  <conditionalFormatting sqref="Q75:R75">
    <cfRule type="cellIs" dxfId="310" priority="320" operator="lessThan">
      <formula>5</formula>
    </cfRule>
  </conditionalFormatting>
  <conditionalFormatting sqref="Q78:R78">
    <cfRule type="cellIs" dxfId="309" priority="319" operator="lessThan">
      <formula>5</formula>
    </cfRule>
  </conditionalFormatting>
  <conditionalFormatting sqref="C14 C17 C20 C23 C26 C29 C35 C38 C51 C54 C57 C63 C66 C69 C72 C75 C78">
    <cfRule type="cellIs" priority="254" stopIfTrue="1" operator="equal">
      <formula>""</formula>
    </cfRule>
  </conditionalFormatting>
  <conditionalFormatting sqref="F17">
    <cfRule type="containsBlanks" dxfId="244" priority="253" stopIfTrue="1">
      <formula>LEN(TRIM(F17))=0</formula>
    </cfRule>
  </conditionalFormatting>
  <conditionalFormatting sqref="F20">
    <cfRule type="containsBlanks" dxfId="243" priority="252" stopIfTrue="1">
      <formula>LEN(TRIM(F20))=0</formula>
    </cfRule>
  </conditionalFormatting>
  <conditionalFormatting sqref="F23">
    <cfRule type="containsBlanks" dxfId="242" priority="251" stopIfTrue="1">
      <formula>LEN(TRIM(F23))=0</formula>
    </cfRule>
  </conditionalFormatting>
  <conditionalFormatting sqref="F26">
    <cfRule type="containsBlanks" dxfId="241" priority="250" stopIfTrue="1">
      <formula>LEN(TRIM(F26))=0</formula>
    </cfRule>
  </conditionalFormatting>
  <conditionalFormatting sqref="F29">
    <cfRule type="containsBlanks" dxfId="240" priority="249" stopIfTrue="1">
      <formula>LEN(TRIM(F29))=0</formula>
    </cfRule>
  </conditionalFormatting>
  <conditionalFormatting sqref="F35">
    <cfRule type="containsBlanks" dxfId="239" priority="248" stopIfTrue="1">
      <formula>LEN(TRIM(F35))=0</formula>
    </cfRule>
  </conditionalFormatting>
  <conditionalFormatting sqref="F38">
    <cfRule type="containsBlanks" dxfId="238" priority="247" stopIfTrue="1">
      <formula>LEN(TRIM(F38))=0</formula>
    </cfRule>
  </conditionalFormatting>
  <conditionalFormatting sqref="F54">
    <cfRule type="containsBlanks" dxfId="237" priority="246" stopIfTrue="1">
      <formula>LEN(TRIM(F54))=0</formula>
    </cfRule>
  </conditionalFormatting>
  <conditionalFormatting sqref="F57">
    <cfRule type="containsBlanks" dxfId="236" priority="245" stopIfTrue="1">
      <formula>LEN(TRIM(F57))=0</formula>
    </cfRule>
  </conditionalFormatting>
  <conditionalFormatting sqref="F63">
    <cfRule type="containsBlanks" dxfId="235" priority="244" stopIfTrue="1">
      <formula>LEN(TRIM(F63))=0</formula>
    </cfRule>
  </conditionalFormatting>
  <conditionalFormatting sqref="F66">
    <cfRule type="containsBlanks" dxfId="234" priority="243" stopIfTrue="1">
      <formula>LEN(TRIM(F66))=0</formula>
    </cfRule>
  </conditionalFormatting>
  <conditionalFormatting sqref="F69">
    <cfRule type="containsBlanks" dxfId="233" priority="242" stopIfTrue="1">
      <formula>LEN(TRIM(F69))=0</formula>
    </cfRule>
  </conditionalFormatting>
  <conditionalFormatting sqref="F72">
    <cfRule type="containsBlanks" dxfId="232" priority="241" stopIfTrue="1">
      <formula>LEN(TRIM(F72))=0</formula>
    </cfRule>
  </conditionalFormatting>
  <conditionalFormatting sqref="F75">
    <cfRule type="containsBlanks" dxfId="231" priority="240" stopIfTrue="1">
      <formula>LEN(TRIM(F75))=0</formula>
    </cfRule>
  </conditionalFormatting>
  <conditionalFormatting sqref="F78">
    <cfRule type="containsBlanks" dxfId="230" priority="239" stopIfTrue="1">
      <formula>LEN(TRIM(F78))=0</formula>
    </cfRule>
  </conditionalFormatting>
  <conditionalFormatting sqref="G63">
    <cfRule type="containsBlanks" dxfId="206" priority="215" stopIfTrue="1">
      <formula>LEN(TRIM(G63))=0</formula>
    </cfRule>
  </conditionalFormatting>
  <conditionalFormatting sqref="G66">
    <cfRule type="containsBlanks" dxfId="205" priority="214" stopIfTrue="1">
      <formula>LEN(TRIM(G66))=0</formula>
    </cfRule>
  </conditionalFormatting>
  <conditionalFormatting sqref="G69">
    <cfRule type="containsBlanks" dxfId="204" priority="213" stopIfTrue="1">
      <formula>LEN(TRIM(G69))=0</formula>
    </cfRule>
  </conditionalFormatting>
  <conditionalFormatting sqref="G72">
    <cfRule type="containsBlanks" dxfId="203" priority="212" stopIfTrue="1">
      <formula>LEN(TRIM(G72))=0</formula>
    </cfRule>
  </conditionalFormatting>
  <conditionalFormatting sqref="G75">
    <cfRule type="containsBlanks" dxfId="202" priority="211" stopIfTrue="1">
      <formula>LEN(TRIM(G75))=0</formula>
    </cfRule>
  </conditionalFormatting>
  <conditionalFormatting sqref="G78">
    <cfRule type="containsBlanks" dxfId="201" priority="210" stopIfTrue="1">
      <formula>LEN(TRIM(G78))=0</formula>
    </cfRule>
  </conditionalFormatting>
  <conditionalFormatting sqref="Q32:R32">
    <cfRule type="cellIs" dxfId="63" priority="72" operator="lessThan">
      <formula>5</formula>
    </cfRule>
  </conditionalFormatting>
  <conditionalFormatting sqref="G32">
    <cfRule type="containsBlanks" dxfId="62" priority="71" stopIfTrue="1">
      <formula>LEN(TRIM(G32))=0</formula>
    </cfRule>
  </conditionalFormatting>
  <conditionalFormatting sqref="C32">
    <cfRule type="cellIs" priority="70" stopIfTrue="1" operator="equal">
      <formula>""</formula>
    </cfRule>
  </conditionalFormatting>
  <conditionalFormatting sqref="F32">
    <cfRule type="containsBlanks" dxfId="61" priority="69" stopIfTrue="1">
      <formula>LEN(TRIM(F32))=0</formula>
    </cfRule>
  </conditionalFormatting>
  <conditionalFormatting sqref="Q60:R60">
    <cfRule type="cellIs" dxfId="59" priority="67" operator="lessThan">
      <formula>5</formula>
    </cfRule>
  </conditionalFormatting>
  <conditionalFormatting sqref="G60">
    <cfRule type="containsBlanks" dxfId="58" priority="66" stopIfTrue="1">
      <formula>LEN(TRIM(G60))=0</formula>
    </cfRule>
  </conditionalFormatting>
  <conditionalFormatting sqref="C60">
    <cfRule type="cellIs" priority="65" stopIfTrue="1" operator="equal">
      <formula>""</formula>
    </cfRule>
  </conditionalFormatting>
  <conditionalFormatting sqref="F60">
    <cfRule type="containsBlanks" dxfId="57" priority="64" stopIfTrue="1">
      <formula>LEN(TRIM(F60))=0</formula>
    </cfRule>
  </conditionalFormatting>
  <conditionalFormatting sqref="C11 C14 C17 C20 C23 C26 C29 C32 C35 C81 C84 C87 C90 C93 C96 C99 C102 C38 C51 C54 C57 C60 C63 C66 C69 C72 C75 C78">
    <cfRule type="cellIs" priority="49" stopIfTrue="1" operator="equal">
      <formula>""</formula>
    </cfRule>
    <cfRule type="cellIs" dxfId="47" priority="50" operator="equal">
      <formula>$E$7</formula>
    </cfRule>
    <cfRule type="cellIs" dxfId="46" priority="51" operator="equal">
      <formula>$E$6</formula>
    </cfRule>
    <cfRule type="cellIs" dxfId="45" priority="52" operator="equal">
      <formula>$E$5</formula>
    </cfRule>
    <cfRule type="cellIs" dxfId="44" priority="53" operator="equal">
      <formula>$E$4</formula>
    </cfRule>
    <cfRule type="cellIs" dxfId="43" priority="54" operator="equal">
      <formula>$E$3</formula>
    </cfRule>
  </conditionalFormatting>
  <conditionalFormatting sqref="Q41:R41">
    <cfRule type="cellIs" dxfId="42" priority="41" operator="lessThan">
      <formula>5</formula>
    </cfRule>
  </conditionalFormatting>
  <conditionalFormatting sqref="G41">
    <cfRule type="containsBlanks" dxfId="35" priority="40" stopIfTrue="1">
      <formula>LEN(TRIM(G41))=0</formula>
    </cfRule>
  </conditionalFormatting>
  <conditionalFormatting sqref="C41">
    <cfRule type="cellIs" priority="39" stopIfTrue="1" operator="equal">
      <formula>""</formula>
    </cfRule>
  </conditionalFormatting>
  <conditionalFormatting sqref="F41">
    <cfRule type="containsBlanks" dxfId="34" priority="38" stopIfTrue="1">
      <formula>LEN(TRIM(F41))=0</formula>
    </cfRule>
  </conditionalFormatting>
  <conditionalFormatting sqref="C41">
    <cfRule type="cellIs" priority="31" stopIfTrue="1" operator="equal">
      <formula>""</formula>
    </cfRule>
    <cfRule type="cellIs" dxfId="32" priority="32" operator="equal">
      <formula>$E$7</formula>
    </cfRule>
    <cfRule type="cellIs" dxfId="31" priority="33" operator="equal">
      <formula>$E$6</formula>
    </cfRule>
    <cfRule type="cellIs" dxfId="30" priority="34" operator="equal">
      <formula>$E$5</formula>
    </cfRule>
    <cfRule type="cellIs" dxfId="29" priority="35" operator="equal">
      <formula>$E$4</formula>
    </cfRule>
    <cfRule type="cellIs" dxfId="28" priority="36" operator="equal">
      <formula>$E$3</formula>
    </cfRule>
  </conditionalFormatting>
  <conditionalFormatting sqref="Q44:R44">
    <cfRule type="cellIs" dxfId="27" priority="30" operator="lessThan">
      <formula>5</formula>
    </cfRule>
  </conditionalFormatting>
  <conditionalFormatting sqref="G44">
    <cfRule type="containsBlanks" dxfId="26" priority="29" stopIfTrue="1">
      <formula>LEN(TRIM(G44))=0</formula>
    </cfRule>
  </conditionalFormatting>
  <conditionalFormatting sqref="C44">
    <cfRule type="cellIs" priority="28" stopIfTrue="1" operator="equal">
      <formula>""</formula>
    </cfRule>
  </conditionalFormatting>
  <conditionalFormatting sqref="F44">
    <cfRule type="containsBlanks" dxfId="25" priority="27" stopIfTrue="1">
      <formula>LEN(TRIM(F44))=0</formula>
    </cfRule>
  </conditionalFormatting>
  <conditionalFormatting sqref="C44">
    <cfRule type="cellIs" priority="20" stopIfTrue="1" operator="equal">
      <formula>""</formula>
    </cfRule>
    <cfRule type="cellIs" dxfId="23" priority="21" operator="equal">
      <formula>$E$7</formula>
    </cfRule>
    <cfRule type="cellIs" dxfId="22" priority="22" operator="equal">
      <formula>$E$6</formula>
    </cfRule>
    <cfRule type="cellIs" dxfId="21" priority="23" operator="equal">
      <formula>$E$5</formula>
    </cfRule>
    <cfRule type="cellIs" dxfId="20" priority="24" operator="equal">
      <formula>$E$4</formula>
    </cfRule>
    <cfRule type="cellIs" dxfId="19" priority="25" operator="equal">
      <formula>$E$3</formula>
    </cfRule>
  </conditionalFormatting>
  <conditionalFormatting sqref="P78 P75 P72 P69 P66 P63 P60 P57 P54 P44 P41 P38 P35 P32 P29 P26 P23 P20 P17">
    <cfRule type="cellIs" dxfId="0" priority="1" operator="lessThan">
      <formula>5</formula>
    </cfRule>
  </conditionalFormatting>
  <pageMargins left="0.25" right="0.25" top="0.75" bottom="0.75" header="0.3" footer="0.3"/>
  <pageSetup paperSize="9" scale="4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 Plan</vt:lpstr>
      <vt:lpstr>'Test Plan'!Print_Area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Stefano.Rapisarda</cp:lastModifiedBy>
  <cp:lastPrinted>2021-07-04T12:52:02Z</cp:lastPrinted>
  <dcterms:created xsi:type="dcterms:W3CDTF">2021-07-04T11:41:14Z</dcterms:created>
  <dcterms:modified xsi:type="dcterms:W3CDTF">2021-07-04T13:03:35Z</dcterms:modified>
</cp:coreProperties>
</file>